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defaultThemeVersion="124226"/>
  <mc:AlternateContent xmlns:mc="http://schemas.openxmlformats.org/markup-compatibility/2006">
    <mc:Choice Requires="x15">
      <x15ac:absPath xmlns:x15ac="http://schemas.microsoft.com/office/spreadsheetml/2010/11/ac" url="https://onlinect-my.sharepoint.com/personal/sirajudeen_r_citiustech_com/Documents/"/>
    </mc:Choice>
  </mc:AlternateContent>
  <xr:revisionPtr revIDLastSave="0" documentId="8_{67690338-D636-40A8-9E74-352959198C4A}" xr6:coauthVersionLast="47" xr6:coauthVersionMax="47" xr10:uidLastSave="{00000000-0000-0000-0000-000000000000}"/>
  <bookViews>
    <workbookView xWindow="-120" yWindow="-120" windowWidth="20730" windowHeight="11040" tabRatio="895" firstSheet="5" activeTab="5" xr2:uid="{00000000-000D-0000-FFFF-FFFF00000000}"/>
  </bookViews>
  <sheets>
    <sheet name="Revision History" sheetId="7" r:id="rId1"/>
    <sheet name="Ann 2 - SmartTest &amp; Automation" sheetId="8" r:id="rId2"/>
    <sheet name="Ann 3 - SmartScrum" sheetId="10" r:id="rId3"/>
    <sheet name="Ann 4 - SmartArchMU" sheetId="11" r:id="rId4"/>
    <sheet name="CT SmartArch MU Review Report" sheetId="12" r:id="rId5"/>
    <sheet name="SmartArch Ref-TOGAF Guidelines" sheetId="13" r:id="rId6"/>
    <sheet name="Ann 1 - SmartCode" sheetId="9" r:id="rId7"/>
    <sheet name="SmartCode Team Audit CheckList" sheetId="14" r:id="rId8"/>
    <sheet name="CT Smart MU Framework" sheetId="1" r:id="rId9"/>
  </sheets>
  <externalReferences>
    <externalReference r:id="rId10"/>
  </externalReferences>
  <definedNames>
    <definedName name="_xlnm._FilterDatabase" localSheetId="3" hidden="1">'Ann 4 - SmartArchMU'!$A$1:$E$48</definedName>
    <definedName name="Category">'CT SmartArch MU Review Report'!$B$22:$B$22</definedName>
    <definedName name="Category1">[1]Sheet2!$A$1:$A$9</definedName>
    <definedName name="_xlnm.Print_Area" localSheetId="6">'Ann 1 - SmartCode'!$A$1:$E$31</definedName>
    <definedName name="_xlnm.Print_Titles" localSheetId="8">'CT Smart MU Framework'!$1:$3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1" l="1"/>
  <c r="B4" i="11" s="1"/>
  <c r="B4" i="12" s="1"/>
  <c r="C23" i="10" l="1"/>
  <c r="C31" i="9"/>
  <c r="B4" i="9" s="1"/>
  <c r="D32" i="8"/>
  <c r="B5" i="8" s="1"/>
  <c r="C32" i="8"/>
  <c r="B4" i="8" s="1"/>
  <c r="B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Faiz Chachiya</author>
  </authors>
  <commentList>
    <comment ref="B10" authorId="0" shapeId="0" xr:uid="{00000000-0006-0000-0500-000001000000}">
      <text>
        <r>
          <rPr>
            <sz val="9"/>
            <color indexed="81"/>
            <rFont val="Tahoma"/>
            <family val="2"/>
          </rPr>
          <t xml:space="preserve">1. Are the Business Critical &amp; High impact use cases identified?
2. Is the application type determined e.g. mobile application, a Fat/ thin client, a rich Internet application, a service, a Web application, or some combination of these types?
3. Is the deployment architecture identified? 
(Note: By identifying the requirements and constraints that exist between the application architecture and infrastructure architecture early in the design process, one can choose an appropriate deployment topology and resolve conflicts between the application and the target infrastructure. )
4. Is the architecture design styles identified? 
(Note: An architecture style improves partitioning and promotes design reuse by providing solutions to frequently recurring problems. Common architectural styles are Service Oriented Architecture (SOA), client/server, layered, message-bus, and domain-driven design. Applications will often use a combination of styles.) "
5. Is the relevant technologies determined? 
(Note: Key factors to consider are - the type of application being developed, and the preferred options for application deployment topology and architectural styles. The choice of technologies will also be governed by organization policies, infrastructure limitations, resource skills.) 
6. Are issues &amp; shortcomings of the application architecture/ design identified? 
(Note: Potential issues may include the limitations of new technologies, use of outdated technologies, non usage of advanced features of the technology used, missing critical business requirements, etc.)"
7. Logical -functional requirements of IT architecture; Abstraction &amp; Encapsulation; Information hiding; Separation; Modularization. </t>
        </r>
      </text>
    </comment>
  </commentList>
</comments>
</file>

<file path=xl/sharedStrings.xml><?xml version="1.0" encoding="utf-8"?>
<sst xmlns="http://schemas.openxmlformats.org/spreadsheetml/2006/main" count="737" uniqueCount="553">
  <si>
    <r>
      <t xml:space="preserve">This document contains the certification framework and criteria for the various Smart Meaningful Use (MU) certifications for projects. 
</t>
    </r>
    <r>
      <rPr>
        <b/>
        <sz val="11"/>
        <rFont val="Calibri"/>
        <family val="2"/>
        <scheme val="minor"/>
      </rPr>
      <t/>
    </r>
  </si>
  <si>
    <t>Document Revision History:</t>
  </si>
  <si>
    <t>Document Version #</t>
  </si>
  <si>
    <t>Revision Date</t>
  </si>
  <si>
    <t>Prepared By</t>
  </si>
  <si>
    <t>Reviewed &amp; Approved By</t>
  </si>
  <si>
    <t>Approval Date</t>
  </si>
  <si>
    <t>Summary of Changes</t>
  </si>
  <si>
    <t>Rahul M/ Satish Rao/ Gouri P</t>
  </si>
  <si>
    <t>Punam Shejale</t>
  </si>
  <si>
    <t xml:space="preserve">Smart MU criteria revised to make the checkpoints objective. </t>
  </si>
  <si>
    <t>Abhijeet J</t>
  </si>
  <si>
    <t xml:space="preserve">Added SmartMU criteria for SmartAutomation. Done minor changes to other SmartMU criteria questions based on inputs from auditees &amp; auditors after first cycle of MU certifications.  </t>
  </si>
  <si>
    <t>Added Unit Testing scope for SmartCode. Updated Team training &amp; awareness section for SmartScrum to include all team members who are part of the Scrum project. Updated the use of the Retrospective checklist in the Scrum Rituals section for SmartScrum</t>
  </si>
  <si>
    <t>Jai M / Karan M</t>
  </si>
  <si>
    <t>Enhanced Smart Code Audit checklist questionnaire, Added gate processes,
Smart Test and Automation Checklist combined. Smart Scrum checklist merged with Internal Quality Audit. Included SmartArch Checklist and report format</t>
  </si>
  <si>
    <t>Smita Dongre</t>
  </si>
  <si>
    <t>Added questions w.r.t VeloCT usage, retrospective process</t>
  </si>
  <si>
    <t>Updated the VeloCT question, code review question updated as a gate process</t>
  </si>
  <si>
    <t>Smita Dongre
Amod Karve / Sarabjeetsingh B</t>
  </si>
  <si>
    <t xml:space="preserve">Enhanced the Smart Code Audit Checklist with additional technical questions.
Minor updates to  Smart Scrum, Smart Test and Smart Automation Checklist </t>
  </si>
  <si>
    <t>SmartTest &amp; SmartAutomation MU Certification Audit Summary</t>
  </si>
  <si>
    <t>Project Name:</t>
  </si>
  <si>
    <t>Audit Date:</t>
  </si>
  <si>
    <t>Name of Auditor(s):</t>
  </si>
  <si>
    <t>Name of Auditee(s):</t>
  </si>
  <si>
    <t>Overall Compliance % for SmartTest:</t>
  </si>
  <si>
    <t>Overall Status for SmartTest:</t>
  </si>
  <si>
    <t>Overall Compliance % for SmartAutomation:</t>
  </si>
  <si>
    <t>Overall Status for SmartAutomation:</t>
  </si>
  <si>
    <t xml:space="preserve">MU Certification Guidelines </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</si>
  <si>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t>
    </r>
    <r>
      <rPr>
        <b/>
        <sz val="10"/>
        <color theme="1"/>
        <rFont val="Calibri"/>
        <family val="2"/>
        <scheme val="minor"/>
      </rPr>
      <t>5. Gate Process: Gate processes are mandatory processes which are applicable to all projects. Those questions are marked in</t>
    </r>
    <r>
      <rPr>
        <b/>
        <sz val="10"/>
        <color rgb="FFFF0000"/>
        <rFont val="Calibri"/>
        <family val="2"/>
        <scheme val="minor"/>
      </rPr>
      <t xml:space="preserve"> red text</t>
    </r>
    <r>
      <rPr>
        <b/>
        <sz val="10"/>
        <color theme="1"/>
        <rFont val="Calibri"/>
        <family val="2"/>
        <scheme val="minor"/>
      </rPr>
      <t xml:space="preserve">. Scoring for gate process checkpoints can either be "0" or "3".  Failing any gate process checkpoint will reduce the overall audit score by 50%. </t>
    </r>
  </si>
  <si>
    <t xml:space="preserve">SmartTest &amp; SmartAutomation Audit Criteria </t>
  </si>
  <si>
    <t>Sr No.</t>
  </si>
  <si>
    <t>Audit Checkpoint</t>
  </si>
  <si>
    <t>Manual Testing Score</t>
  </si>
  <si>
    <t>Automation Testing Score</t>
  </si>
  <si>
    <t>Audit Finding</t>
  </si>
  <si>
    <t>Remarks / References</t>
  </si>
  <si>
    <r>
      <t xml:space="preserve">Manual Testing - Requirement Analysis &amp; Test Planning : </t>
    </r>
    <r>
      <rPr>
        <sz val="10"/>
        <color theme="1"/>
        <rFont val="Calibri"/>
        <family val="2"/>
        <scheme val="minor"/>
      </rPr>
      <t>To verify that the project team understands the requirements and plans for testing them.</t>
    </r>
    <r>
      <rPr>
        <b/>
        <sz val="10"/>
        <color theme="1"/>
        <rFont val="Calibri"/>
        <family val="2"/>
        <scheme val="minor"/>
      </rPr>
      <t xml:space="preserve">
Automation Testing - Framework Planning : </t>
    </r>
    <r>
      <rPr>
        <sz val="10"/>
        <color theme="1"/>
        <rFont val="Calibri"/>
        <family val="2"/>
        <scheme val="minor"/>
      </rPr>
      <t>To verify that the project team understands the automation framework</t>
    </r>
  </si>
  <si>
    <t>Manual Testing:
Has the QA team created at least 1 of the following 2 deliverables for their project?:
1.  Test Plan
2. Test Approach and Strategy 
Automation Testing:
Has the automation team created the following deliverables?:
1. Automation Strategy Document
2. Batch Execution Strategy Document
3. Batch execution report template (if not defined by client)</t>
  </si>
  <si>
    <t>Manual &amp; Automation testing:
Are the efforts estimated for testing and automation activities for at least the last Release or last 4 Sprints?</t>
  </si>
  <si>
    <t>Have at least 85% of  the team members completed Smart trainings as applicable?  
(Exceptions:
a. Members who joined the team in the last 45 days.
b. Members who are on-site.
c. For small teams, i.e. up to 10 members, 1 or 2 untrained members are exempted.)</t>
  </si>
  <si>
    <r>
      <t xml:space="preserve">Test Design: 
Manual Testing - </t>
    </r>
    <r>
      <rPr>
        <sz val="10"/>
        <rFont val="Calibri"/>
        <family val="2"/>
        <scheme val="minor"/>
      </rPr>
      <t xml:space="preserve">To verify that the test design document is prepared and reviewed before test execution. </t>
    </r>
  </si>
  <si>
    <t>Manual Testing:
Is 1 of the following 4 deliverables created in the last Release or last 4 Sprints?:
1. Test Scenarios
2. Test Cases
3. Test Suite
4. BDD
Automation Testing: NA</t>
  </si>
  <si>
    <t>Manual &amp; Automation Testing:
Auditor to check samples of test artifacts created above for adequate coverage of requirements in terms of types of scenarios covered, exception handling, data sets, no. of test cases, etc.
Are minimum of 5 negative QA test scenarios identified for each program in addition to the positive QA test scenarios? (applicable for both manual &amp; automation testing)</t>
  </si>
  <si>
    <t>Manual Testing:
Are the security &amp; performance test cases have been explicitly identified for execution for each sprint/ release? (as applicable)
Automation Testing: NA</t>
  </si>
  <si>
    <r>
      <t xml:space="preserve">Configuration &amp; Usage of guidelines : </t>
    </r>
    <r>
      <rPr>
        <sz val="10"/>
        <color theme="1"/>
        <rFont val="Calibri"/>
        <family val="2"/>
        <scheme val="minor"/>
      </rPr>
      <t xml:space="preserve">To verify that Coding / Test case review Guidelines are defined and used. </t>
    </r>
  </si>
  <si>
    <r>
      <t xml:space="preserve">Manual Testing: 
Is the test case review checklist configured in QMS for the project? 
Has the review guidelines been enhanced to include client provided guidelines and applicable project specific guidelines? 
Does the guidelines include security &amp; performance related testing checkpoints? 
</t>
    </r>
    <r>
      <rPr>
        <b/>
        <sz val="10"/>
        <rFont val="Calibri"/>
        <family val="2"/>
        <scheme val="minor"/>
      </rPr>
      <t>Note: Auditor to verify the adequacy of the review guidelines based on the nature of work being done / criticality of the project</t>
    </r>
    <r>
      <rPr>
        <sz val="10"/>
        <rFont val="Calibri"/>
        <family val="2"/>
        <scheme val="minor"/>
      </rPr>
      <t xml:space="preserve">
Automation Testing:
Is the automation test scripts review guidelines / coding guidelines configured in QMS?
Has the review guidelines been enhanced to include client provided guidelines and applicable project specific guidelines? 
Does the guidelines include security &amp; performance related testing checkpoints? 
</t>
    </r>
    <r>
      <rPr>
        <b/>
        <sz val="10"/>
        <rFont val="Calibri"/>
        <family val="2"/>
        <scheme val="minor"/>
      </rPr>
      <t>Note: Auditor to verify the adequacy of the review guidelines based on the nature of work being done / criticality of the project</t>
    </r>
  </si>
  <si>
    <r>
      <t xml:space="preserve">Manual Testing &amp; Automation Testing: 
Has the review guidelines been used for deliveries done in the last Release or last 4 Sprints?
Are the security &amp; performance related test cases identified and executed?
Are the test cases reviewed by the BA associated with the project?
</t>
    </r>
    <r>
      <rPr>
        <b/>
        <sz val="10"/>
        <rFont val="Calibri"/>
        <family val="2"/>
        <scheme val="minor"/>
      </rPr>
      <t>Note: Auditor to conduct review of test cases / test scripts for few major recent deliverables and compare the feedback with the peer review results</t>
    </r>
  </si>
  <si>
    <r>
      <t xml:space="preserve">Test / Batch Execution: </t>
    </r>
    <r>
      <rPr>
        <sz val="10"/>
        <color theme="1"/>
        <rFont val="Calibri"/>
        <family val="2"/>
        <scheme val="minor"/>
      </rPr>
      <t>To verify the efficacy with which the project team executes the automation batch</t>
    </r>
  </si>
  <si>
    <t>Automation Testing:
Are all the automated scripts running without any manual intervention except for the manual test data setup required in the beginning of the batch?
Manual Testing: NA</t>
  </si>
  <si>
    <t>Gate process: 
Manual Testing:
Has the team identified the Vital Business Functions (VBF) in the regression suites? Is the same executed and all the test cases are passed?
Automation testing: NA</t>
  </si>
  <si>
    <r>
      <rPr>
        <b/>
        <sz val="10"/>
        <color rgb="FFFF0000"/>
        <rFont val="Calibri"/>
        <family val="2"/>
        <scheme val="minor"/>
      </rPr>
      <t>Gate process:</t>
    </r>
    <r>
      <rPr>
        <sz val="10"/>
        <color rgb="FFFF0000"/>
        <rFont val="Calibri"/>
        <family val="2"/>
        <scheme val="minor"/>
      </rPr>
      <t xml:space="preserve"> 
Automation testing: 
Are the automation scripts written such as execution results reflect the correct execution status?
</t>
    </r>
    <r>
      <rPr>
        <b/>
        <sz val="10"/>
        <color rgb="FFFF0000"/>
        <rFont val="Calibri"/>
        <family val="2"/>
        <scheme val="minor"/>
      </rPr>
      <t xml:space="preserve">Note: Auditor to verify the accuracy of the automation scripts to ensure they do not  publish false reports
</t>
    </r>
    <r>
      <rPr>
        <sz val="10"/>
        <color rgb="FFFF0000"/>
        <rFont val="Calibri"/>
        <family val="2"/>
        <scheme val="minor"/>
      </rPr>
      <t xml:space="preserve">
Manual Testing: NA</t>
    </r>
  </si>
  <si>
    <t xml:space="preserve">Manual Testing:
Is the test Execution Summary report created for the last Release or last 4 Sprints and published to the client?
Automation Testing:
Is the batch execution report (details of the automation batch) created for the last Release or last 4 Sprints and published to the client?
</t>
  </si>
  <si>
    <r>
      <t xml:space="preserve">Manual &amp; Automation Testing:
Are all the defects logged and tracked to closure using a standardized template for logging bugs or a defect logging tool?
(CT Template Test Defect report can be used in absence of a tool)
</t>
    </r>
    <r>
      <rPr>
        <b/>
        <sz val="10"/>
        <rFont val="Calibri"/>
        <family val="2"/>
        <scheme val="minor"/>
      </rPr>
      <t xml:space="preserve">Note: Auditor to verify data for last Release or last 4 Sprints </t>
    </r>
  </si>
  <si>
    <r>
      <t xml:space="preserve">Manual Testing - Test Closure: </t>
    </r>
    <r>
      <rPr>
        <sz val="10"/>
        <rFont val="Calibri"/>
        <family val="2"/>
        <scheme val="minor"/>
      </rPr>
      <t>To verify that formal test closure is conducted in the project.</t>
    </r>
  </si>
  <si>
    <t>Manual Testing:
Is one of the following Test Closure deliverables created for the last Release or last 4 Sprints?:
1. QA Sign-Off (Mandatory)
2. Test Metrics Data Collection (Optional)
Automation Testing: NA</t>
  </si>
  <si>
    <r>
      <t xml:space="preserve">Test Data Usage: 
Manual Testing - </t>
    </r>
    <r>
      <rPr>
        <sz val="10"/>
        <color theme="1"/>
        <rFont val="Calibri"/>
        <family val="2"/>
        <scheme val="minor"/>
      </rPr>
      <t>To verify that the project team uses at least 1 of the 5 sets of test data available in the Test Data Repository.</t>
    </r>
    <r>
      <rPr>
        <b/>
        <sz val="10"/>
        <color theme="1"/>
        <rFont val="Calibri"/>
        <family val="2"/>
        <scheme val="minor"/>
      </rPr>
      <t xml:space="preserve">
Automation Testing - </t>
    </r>
    <r>
      <rPr>
        <sz val="10"/>
        <color theme="1"/>
        <rFont val="Calibri"/>
        <family val="2"/>
        <scheme val="minor"/>
      </rPr>
      <t>To verify that the project team configures correct test data</t>
    </r>
  </si>
  <si>
    <t>Manual Testing:
Is 1 of the following 5 test data set used in the project in the last Release or last 4 Sprints?:
1. DICOM Modalities
2. HL7 V2 Messages
3. HL7 V3 Messages
4. Patient Records (Structured and Unstructured data entry)
5. File Attachments
OR
Does the team maintains a test data repository that contains the structured data processed by the SUT? or can demonstrate that it does not use random data for testing purposes?
Automation Testing:
In case of test data used in the automated scripts, Is there a proper test data sheet specifying the same?</t>
  </si>
  <si>
    <t>Manual &amp; Automation Testing:
Is test data pertinent to  the Indian locale NOT used in the project?
(Example. When entering the name of the patient, the QA enters the name John Smith and not Amar Ranawat)</t>
  </si>
  <si>
    <t>SmartTest &amp; Automation MU Topping Total Score</t>
  </si>
  <si>
    <t>SmartScrum MU Certification Audit Summary</t>
  </si>
  <si>
    <t>Overall Compliance %:</t>
  </si>
  <si>
    <t>Overall Status:</t>
  </si>
  <si>
    <t>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5. This audit will be covered as a part of Internal quality audit conducted by Quality team. In case the Internal quality audit is not applicable for the projects then a separate SmartScrum audit will be conducted by the trained Smart MU auditors</t>
  </si>
  <si>
    <t xml:space="preserve">SmartScrum Audit Criteria </t>
  </si>
  <si>
    <t xml:space="preserve">Score </t>
  </si>
  <si>
    <r>
      <t xml:space="preserve">Scrum Rituals: </t>
    </r>
    <r>
      <rPr>
        <sz val="10"/>
        <color theme="1"/>
        <rFont val="Calibri"/>
        <family val="2"/>
        <scheme val="minor"/>
      </rPr>
      <t xml:space="preserve">To verify that Scrum Principles are being adhered to in the Scrum Rituals/Ceremonies. </t>
    </r>
  </si>
  <si>
    <r>
      <t xml:space="preserve">Are the daily stand-up happening everyday? 
Is the daily stand-up being time-boxed to 15-30 minutes and Impediment and Queries are discussed post or Outside Daily scrum?
</t>
    </r>
    <r>
      <rPr>
        <b/>
        <sz val="10"/>
        <rFont val="Calibri"/>
        <family val="2"/>
        <scheme val="minor"/>
      </rPr>
      <t>Note: Auditor to verify the calendar invite from client / any mail conversations / Issue tracker / talk to few team members</t>
    </r>
  </si>
  <si>
    <t>Are the sprint planning  meetings conducted for every Sprint at the beginning?</t>
  </si>
  <si>
    <t>Are the sprint reviews (show and tell) conducted for every sprint and the presentations for the same uploaded in QMS?</t>
  </si>
  <si>
    <t>Are the Sprint retrospective meetings conducted after every Sprint with the team &amp; retrospective details shared with the team?</t>
  </si>
  <si>
    <t>Is the team tracking the progress of action Items listed  for areas of improvements identified in QMS?</t>
  </si>
  <si>
    <r>
      <t xml:space="preserve">Scrum Execution: </t>
    </r>
    <r>
      <rPr>
        <sz val="10"/>
        <color theme="1"/>
        <rFont val="Calibri"/>
        <family val="2"/>
        <scheme val="minor"/>
      </rPr>
      <t>To verify that Scrum Principles are being adhered to during sprint execution</t>
    </r>
  </si>
  <si>
    <t>Are all the Features / EPICS / User Stories for the current release and sprints have been estimated and story points assigned?</t>
  </si>
  <si>
    <t>Are all user Stories in the current release and sprints has Priority or Stack Rank assigned?</t>
  </si>
  <si>
    <t>Are the actual efforts/estimate updated to reflect correct state of the sprint?</t>
  </si>
  <si>
    <t>Are all the user Stories and the associated bugs linked in the tool used?</t>
  </si>
  <si>
    <t xml:space="preserve">All user stories which are delivered, have been accepted by PO in the sprint reviews and the status is updated in the SCRUM tool used. </t>
  </si>
  <si>
    <t>All unplanned or incomplete stories moved out to subsequent sprints.</t>
  </si>
  <si>
    <t>SmartScrum MU Topping Total Score</t>
  </si>
  <si>
    <t>SmartArch MU Review Summary</t>
  </si>
  <si>
    <t>Review Date:</t>
  </si>
  <si>
    <t>Name of Reviewer(s):</t>
  </si>
  <si>
    <t>Name of Reviewee/ Project Lead:</t>
  </si>
  <si>
    <t xml:space="preserve">SmartArch MU Review Guidelines </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</si>
  <si>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schedule another SmartArch review, if applicable. 
5. Workflow: </t>
    </r>
    <r>
      <rPr>
        <i/>
        <sz val="10"/>
        <rFont val="Calibri"/>
        <family val="2"/>
        <scheme val="minor"/>
      </rPr>
      <t xml:space="preserve">
- As per the review date requested for, the quality team will schedule architecture review for the project and also identify and allocate two auditors to conduct the review
- The schedule of SmartArch Reviews will be published to the auditor &amp; project team by Quality team ( similar to the other Smart audits). 
- Project Lead will provide overview to SmartArch reviewers on the scheduled date &amp; time. 
- The identified SmartArch Reviewers to review the project based on published review criteria and publish the draft report with observations and suggestions. 
- The project team to analyse the observations (some of them may need client approval prior to implementation.)
-  SmartArch MU Reviewer will upload the checklist &amp; report in QMS and close the review findings after final discussion. 
- Project team to provide the comments for observations and share them with the reviewers in QMS - Internal audit module. 
- If some observations are agreed to be implemented in future, then it is the responsibility of the DL to initiate the SmartArch Review for them after they are implemented.  
-  SmartArch Review status (pending/completed/ overdue) would appear on the QMS - AnP window of the respective project in the Comfort Table.</t>
    </r>
  </si>
  <si>
    <t xml:space="preserve">SmartArch MU Review Criteria </t>
  </si>
  <si>
    <t>Review Checkpoint</t>
  </si>
  <si>
    <t>Review Finding</t>
  </si>
  <si>
    <r>
      <t>Architecture :</t>
    </r>
    <r>
      <rPr>
        <sz val="10"/>
        <color theme="1"/>
        <rFont val="Calibri"/>
        <family val="2"/>
        <scheme val="minor"/>
      </rPr>
      <t xml:space="preserve"> 4+1 Architecture, Requirement Analysis &amp; 3rd Party tools
</t>
    </r>
  </si>
  <si>
    <t xml:space="preserve">System Design document containing the logical view, process view, development view, physical view or use case view diagrams. </t>
  </si>
  <si>
    <t>UML Diagrams for the requirements (applicable if 4+1 architecture is not available).</t>
  </si>
  <si>
    <t>Dependencies on any other system.</t>
  </si>
  <si>
    <t xml:space="preserve">Any third party application that would be used or other applications and/or systems that require integration with yours. </t>
  </si>
  <si>
    <t xml:space="preserve">Hardware and Software details and Technology Stack. </t>
  </si>
  <si>
    <r>
      <t xml:space="preserve">Requirement: </t>
    </r>
    <r>
      <rPr>
        <sz val="10"/>
        <color theme="1"/>
        <rFont val="Calibri"/>
        <family val="2"/>
        <scheme val="minor"/>
      </rPr>
      <t xml:space="preserve"> Requirements, Dependencies on other teams and general
</t>
    </r>
  </si>
  <si>
    <t>Uncovering problems and conflicts in requirements.</t>
  </si>
  <si>
    <t>What all cross cutting concerns are being considered.</t>
  </si>
  <si>
    <t xml:space="preserve">Any healthcare related workflows implemented in the applications &amp; related controls. </t>
  </si>
  <si>
    <t xml:space="preserve">Any medical device integrations required. </t>
  </si>
  <si>
    <t xml:space="preserve">Need for Caching, Concurrency, Instrumentation, etc. </t>
  </si>
  <si>
    <r>
      <t xml:space="preserve">Design Patterns &amp; Anti-Patterns: </t>
    </r>
    <r>
      <rPr>
        <sz val="10"/>
        <color theme="1"/>
        <rFont val="Calibri"/>
        <family val="2"/>
        <scheme val="minor"/>
      </rPr>
      <t xml:space="preserve"> Important Design Patterns, ESB patterns, Anti-patterns
</t>
    </r>
  </si>
  <si>
    <t xml:space="preserve">Important Design Patterns and Anit-Patterns being used. </t>
  </si>
  <si>
    <t>Any tool used to detect the need for Anti-Patterns.</t>
  </si>
  <si>
    <r>
      <t>Software Architecture (NFR) :</t>
    </r>
    <r>
      <rPr>
        <sz val="10"/>
        <color theme="1"/>
        <rFont val="Calibri"/>
        <family val="2"/>
        <scheme val="minor"/>
      </rPr>
      <t xml:space="preserve"> Quality Attributes – Scalability, Availability, Accessibility, Resilience
</t>
    </r>
  </si>
  <si>
    <t>All NFR's that are considered in the Architecture.</t>
  </si>
  <si>
    <t xml:space="preserve">Any impact in the system performance or architecture due to consideration of any NFR attributes. </t>
  </si>
  <si>
    <r>
      <t>Design for Performance :</t>
    </r>
    <r>
      <rPr>
        <sz val="10"/>
        <color theme="1"/>
        <rFont val="Calibri"/>
        <family val="2"/>
        <scheme val="minor"/>
      </rPr>
      <t xml:space="preserve"> Architecture and Design guidelines, Application Performance
</t>
    </r>
  </si>
  <si>
    <t xml:space="preserve">What type of performance testing are you doing? (Performance,  Load, Stress)? Any tools used for the same. Usage of CIDs (CitiusTech Instrumentation Dashboards) planned for. </t>
  </si>
  <si>
    <t xml:space="preserve">Parameters that need to be measured for performance identified- 
1. Users
2. Volume
3. Response time
4. Throughput
5. Physical
6. Resource consumption: CPU, Memory, Disk I/O
</t>
  </si>
  <si>
    <r>
      <t>Design for Security :</t>
    </r>
    <r>
      <rPr>
        <sz val="10"/>
        <color theme="1"/>
        <rFont val="Calibri"/>
        <family val="2"/>
        <scheme val="minor"/>
      </rPr>
      <t xml:space="preserve"> System Security,  Threat Model
</t>
    </r>
  </si>
  <si>
    <r>
      <rPr>
        <b/>
        <sz val="10"/>
        <color theme="1"/>
        <rFont val="Calibri"/>
        <family val="2"/>
        <scheme val="minor"/>
      </rPr>
      <t xml:space="preserve">Identification/Authentication: </t>
    </r>
    <r>
      <rPr>
        <sz val="10"/>
        <color theme="1"/>
        <rFont val="Calibri"/>
        <family val="2"/>
        <scheme val="minor"/>
      </rPr>
      <t>Diagrammatic representation of the process flow of how a user is identified to the application and how the application authenticates that the user is who they claim to be. Provide supporting documentation to the diagram explaining the flow from the user interface to the application/database server(s) and back to the user. 
Compliance with corporate policies on accounts, passwords, etc.</t>
    </r>
  </si>
  <si>
    <r>
      <rPr>
        <b/>
        <sz val="10"/>
        <color theme="1"/>
        <rFont val="Calibri"/>
        <family val="2"/>
        <scheme val="minor"/>
      </rPr>
      <t>Authorization:</t>
    </r>
    <r>
      <rPr>
        <sz val="10"/>
        <color theme="1"/>
        <rFont val="Calibri"/>
        <family val="2"/>
        <scheme val="minor"/>
      </rPr>
      <t xml:space="preserve"> Provide a process flow from beginning to end showing how a user requests access to the application, indicating the associated security controls and separation of duties. This should include how the request is approved by the appropriate data owner, how the user is placed into the appropriate access-level classification profile, how the user ID, password, and access is created and provided to the user. 
Also include how the user is informed of their responsibilities associated with using the application, given a copy of the access agreement, how to change password, who to call for help, etc.</t>
    </r>
  </si>
  <si>
    <r>
      <rPr>
        <b/>
        <sz val="10"/>
        <color theme="1"/>
        <rFont val="Calibri"/>
        <family val="2"/>
        <scheme val="minor"/>
      </rPr>
      <t xml:space="preserve">Access Controls: </t>
    </r>
    <r>
      <rPr>
        <sz val="10"/>
        <color theme="1"/>
        <rFont val="Calibri"/>
        <family val="2"/>
        <scheme val="minor"/>
      </rPr>
      <t>Document how the user IDs, passwords, and access profiles are added, changed, removed, and documented. The documentation should include who is responsible for these processes.</t>
    </r>
  </si>
  <si>
    <r>
      <rPr>
        <b/>
        <sz val="10"/>
        <color theme="1"/>
        <rFont val="Calibri"/>
        <family val="2"/>
        <scheme val="minor"/>
      </rPr>
      <t xml:space="preserve">Sensitive Information Protection: </t>
    </r>
    <r>
      <rPr>
        <sz val="10"/>
        <color theme="1"/>
        <rFont val="Calibri"/>
        <family val="2"/>
        <scheme val="minor"/>
      </rPr>
      <t>Provide documentation that identifies sensitive data requiring additional protection. Identify the data owners responsible for this data and the process to be used to protect storage, transmission, printing, and distribution of this data. Identify the techniques like encryption, etc. that will be used for the same. 
Include how the password file/field is protected. How will users be prevented from viewing someone else's sensitive information? Are there agreements with outside parties (partners, suppliers, contractors, etc.) concerning the safeguarding of information? If so, what are the obligations?</t>
    </r>
  </si>
  <si>
    <r>
      <rPr>
        <b/>
        <sz val="10"/>
        <color theme="1"/>
        <rFont val="Calibri"/>
        <family val="2"/>
        <scheme val="minor"/>
      </rPr>
      <t xml:space="preserve">Audit Trails and Audit Logs: </t>
    </r>
    <r>
      <rPr>
        <sz val="10"/>
        <color theme="1"/>
        <rFont val="Calibri"/>
        <family val="2"/>
        <scheme val="minor"/>
      </rPr>
      <t xml:space="preserve">Identify and document group accounts required by the users or application support, including operating system group accounts. Identify and document individual accounts and/or roles that have superuser type privileges, what these privileges are, who has access to these accounts, how access to these accounts is controlled, tracked, and logged, and how password change and distribution are handled, including operating system accounts. 
Also identify audit logs, who can read the audit logs, who can modify the audit logs, who can delete the audit logs, and how the audit logs are protected and stored. Whether the user IDs are obscured in the audit trails, mechanism for archiving &amp; log deletion. </t>
    </r>
  </si>
  <si>
    <r>
      <rPr>
        <b/>
        <sz val="10"/>
        <color theme="1"/>
        <rFont val="Calibri"/>
        <family val="2"/>
        <scheme val="minor"/>
      </rPr>
      <t>External Access Considerations:</t>
    </r>
    <r>
      <rPr>
        <sz val="10"/>
        <color theme="1"/>
        <rFont val="Calibri"/>
        <family val="2"/>
        <scheme val="minor"/>
      </rPr>
      <t xml:space="preserve"> Will the application be used internally only? If not, whether the application compliant with corporate external access requirements. </t>
    </r>
  </si>
  <si>
    <t xml:space="preserve">Tools used to check the application against different threats. </t>
  </si>
  <si>
    <t xml:space="preserve">Considerations of any specific requirements for HIPAA compliance and applications handling PHI/ PII data. </t>
  </si>
  <si>
    <r>
      <t xml:space="preserve">Cloud computing </t>
    </r>
    <r>
      <rPr>
        <sz val="10"/>
        <color theme="1"/>
        <rFont val="Calibri"/>
        <family val="2"/>
        <scheme val="minor"/>
      </rPr>
      <t xml:space="preserve">
</t>
    </r>
  </si>
  <si>
    <t xml:space="preserve">Compliance of the solution to the five essential characteristics of cloud computing- On demand self-service, Broad network access, Resource pooling, Rapid elasticity, Measured service. </t>
  </si>
  <si>
    <t>In case the solution is multi-tenant, whether the specific controls for multi tenancy considered &amp; covered in the  multi-tenancy architecture from the application and data perspectives.</t>
  </si>
  <si>
    <r>
      <t>Big Data</t>
    </r>
    <r>
      <rPr>
        <sz val="10"/>
        <color theme="1"/>
        <rFont val="Calibri"/>
        <family val="2"/>
        <scheme val="minor"/>
      </rPr>
      <t xml:space="preserve">
</t>
    </r>
  </si>
  <si>
    <t xml:space="preserve">Is Big Data aligned with Specific Business Goals. </t>
  </si>
  <si>
    <r>
      <t>Mobile app development</t>
    </r>
    <r>
      <rPr>
        <sz val="10"/>
        <color theme="1"/>
        <rFont val="Calibri"/>
        <family val="2"/>
        <scheme val="minor"/>
      </rPr>
      <t xml:space="preserve">
</t>
    </r>
  </si>
  <si>
    <t xml:space="preserve">Device types &amp; OS to be supported. </t>
  </si>
  <si>
    <t xml:space="preserve">Considerations of whether it is an Online or Offline application. </t>
  </si>
  <si>
    <t>Any device resource constraints such as battery life, memory size, and processor speed, connectivity type (3G, 4G, etc.).</t>
  </si>
  <si>
    <t xml:space="preserve">User Interface considerations &amp; involvement of UX team. </t>
  </si>
  <si>
    <t xml:space="preserve">Compliance with client corporate mobile application guidelines, if any. </t>
  </si>
  <si>
    <t>Total Score</t>
  </si>
  <si>
    <r>
      <t xml:space="preserve">1.  All sections are mandatory. 
2. Category: Select the Category of the Findings from the Category drop down. 
3. Severity: Select the Severity (Low/ Medium/ High/ Suggestions) of the Findings from the drop down. 
4. Finding: Description of the finding is to be filled.
5. Recommendations:  Suggestion or proposal to the best course of action by the Auditor with respect to the Finding.
6. Workflow: </t>
    </r>
    <r>
      <rPr>
        <i/>
        <sz val="10"/>
        <rFont val="Calibri"/>
        <family val="2"/>
        <scheme val="minor"/>
      </rPr>
      <t xml:space="preserve">
- Conduct the SmartArch MU review as per schedule.
- Use ‘CT SmartArch MU Review Framework checklist’ as reference during the review.
- Prepare a formal report containing observations using ‘CT SmartArch MU Review Report’ as per the format in this sheet. 
- Discuss the observations and share the report with the project team. 
- Upload the checklist &amp; report excel in QMS.
- If some observations are agreed to be implemented in future, then it is the responsibility of the DL to initiate the SmartArch Review for them after they are implemented.  
- Perform verification of the observations once the project team has implemented the corrective actions, wherever applicable. 
- The last SmartArch Review date will appear on the QMS dashboard window of the respective project in the Comfort Table.</t>
    </r>
  </si>
  <si>
    <t xml:space="preserve">SmartArch MU Review Report </t>
  </si>
  <si>
    <t>Project Background</t>
  </si>
  <si>
    <t xml:space="preserve">Defect Summary </t>
  </si>
  <si>
    <t>Category</t>
  </si>
  <si>
    <t>High</t>
  </si>
  <si>
    <t>Medium</t>
  </si>
  <si>
    <t>Low</t>
  </si>
  <si>
    <t>Suggestions</t>
  </si>
  <si>
    <t>Design for Performance</t>
  </si>
  <si>
    <t>Mobile App Development</t>
  </si>
  <si>
    <t>Big Data</t>
  </si>
  <si>
    <t>Software Architecture (NFR)</t>
  </si>
  <si>
    <t>Design Patterns and Anti-Design Patterns</t>
  </si>
  <si>
    <t>Requirements</t>
  </si>
  <si>
    <t>Architecture</t>
  </si>
  <si>
    <t>Design for Security</t>
  </si>
  <si>
    <t>Cloud Computing</t>
  </si>
  <si>
    <t>Total</t>
  </si>
  <si>
    <t>SmartArch MU Detailed Review Feedback</t>
  </si>
  <si>
    <t>Sr. No.</t>
  </si>
  <si>
    <t>Finding</t>
  </si>
  <si>
    <t>Severity</t>
  </si>
  <si>
    <t>Recommendation</t>
  </si>
  <si>
    <t>Enter description of the finding</t>
  </si>
  <si>
    <t>Enter Recommendations to action the finding</t>
  </si>
  <si>
    <t>Reference - TOGAF Guidelines</t>
  </si>
  <si>
    <t>1. Hardware and Operating System Checklist</t>
  </si>
  <si>
    <t>What is the project's lifecycle approach?</t>
  </si>
  <si>
    <t>At what stage is the project in its lifecycle?</t>
  </si>
  <si>
    <t>What key issues have been identified or analyzed that the project believes will drive evaluations of hardware and operating systems for networks, servers, and end-user devices?</t>
  </si>
  <si>
    <t>What system capabilities will involve high-volume and/or high-frequency data transfers?</t>
  </si>
  <si>
    <t>How does the system design impact or involve end-user devices?</t>
  </si>
  <si>
    <t>What is the quantity and distribution (regional and global) of usage, data storage, and processing?</t>
  </si>
  <si>
    <t>What applications are affinitized with your project by similarities in data, application services, etc.? To what degree is data affinitized with your project?</t>
  </si>
  <si>
    <t>What hardware and operating system choices have been made before functional design of key elements of the system?</t>
  </si>
  <si>
    <t>If hardware and operating system decisions were made outside of the project's control:</t>
  </si>
  <si>
    <t>What awareness does the project have of the rationale for those decisions?</t>
  </si>
  <si>
    <t>How can the project influence those decisions as system design takes shape?</t>
  </si>
  <si>
    <t>If some non-standards have been chosen:</t>
  </si>
  <si>
    <t>What are the essential business and technical requirements for not using corporate standards?</t>
  </si>
  <si>
    <t>Is this supported by a business case?</t>
  </si>
  <si>
    <t>Have the assumptions in the business case been subject to scrutiny?</t>
  </si>
  <si>
    <t>What is your process for evaluating full lifecycle costs of hardware and operating systems?</t>
  </si>
  <si>
    <t>How has corporate financial management been engaged in evaluation of lifecycle costs?</t>
  </si>
  <si>
    <t>Have you performed a financial analysis of the supplier?</t>
  </si>
  <si>
    <t>Have you made commitments to any supplier?</t>
  </si>
  <si>
    <t>Do you believe your requirements can be met by only one supplier?</t>
  </si>
  <si>
    <t>2. Software Services and Middleware Checklist</t>
  </si>
  <si>
    <t>Describe how error conditions are defined, raised, and propagated between application components.</t>
  </si>
  <si>
    <t>Describe the general pattern of how methods are defined and arranged in various application modules.</t>
  </si>
  <si>
    <t>Describe the general pattern for how method parameters are defined and organized in various application modules. Are [in], [in/out], [out] parameters always specified in the same order? Do Boolean values returned by modules have a consistent outcome?</t>
  </si>
  <si>
    <t>Describe the approach that is used to minimize the number of round-trips between client and server calls, particularly for out-of-process calls, and when complex data structures are involved.</t>
  </si>
  <si>
    <t>Describe the major data structures that are passed between major system components.</t>
  </si>
  <si>
    <t>Describe the major communication protocols that are used between major system components.</t>
  </si>
  <si>
    <t>Describe the marshaling techniques that are used between various system components. Describe any specialized marshaling arrangements that are used.</t>
  </si>
  <si>
    <t>Describe to what extent the system is designed with stateful and stateless components.</t>
  </si>
  <si>
    <t>Describe how and when state is saved for both stateful and stateless components.</t>
  </si>
  <si>
    <t>Describe the extent to which objects are created, used, and destroyed versus re-used through object pooling.</t>
  </si>
  <si>
    <t>Describe the extent to which the system relies on threading or critical section coding.</t>
  </si>
  <si>
    <t>Describe the approach and the internal documentation that is used internally in the system to document the methods, methods arguments, and method functionality.</t>
  </si>
  <si>
    <t>Describe the code review process that was used to build the system.</t>
  </si>
  <si>
    <t>Describe the unit testing that has been used to test the system components.</t>
  </si>
  <si>
    <t>Describe the pre- and post-condition testing that is included in various system modules.</t>
  </si>
  <si>
    <t>Describe the assertion testing that is included with the system.</t>
  </si>
  <si>
    <t>Do components support all the interface types they need to support or are certain assumptions made about what types of components will call other components either in terms of language bindings or other forms of marshaling?</t>
  </si>
  <si>
    <t>Describe the extent to which big-endian or little-endian data format problems need to be handled across different platforms.</t>
  </si>
  <si>
    <t>Describe if numbers or strings need to be handled differently across different platforms.</t>
  </si>
  <si>
    <t>Describe whether the software needs to check for floating-point round-off errors.</t>
  </si>
  <si>
    <t>Describe how time and date functions manage dates so as to avoid improper handling of time and date calculation or display.</t>
  </si>
  <si>
    <t>Describe what tools or processes have been used to test the system for memory leaks, reachability, or general robustness.</t>
  </si>
  <si>
    <t>Describe the layering of the systems services software. Describe the general number of links between major system components. Is the system composed of a lot of point-to-point interfaces or are major messaging backbones used instead?</t>
  </si>
  <si>
    <t>Describe to what extent the system components are either loosely coupled or tightly coupled.</t>
  </si>
  <si>
    <t>What requirements does the system need from the infrastructure in terms of shared libraries, support for communication protocols, load balancing, transaction processing, system monitoring, naming services, or other infrastructure services?</t>
  </si>
  <si>
    <t>Describe how the system and system components are designed for refactoring.</t>
  </si>
  <si>
    <t>Describe how the system or system components rely on common messaging infrastructure versus a unique point-to-point communication structure.</t>
  </si>
  <si>
    <t>3. Applications Checklists</t>
  </si>
  <si>
    <t>3.1 Infrastructure (Enterprise Productivity) Applications</t>
  </si>
  <si>
    <t>Is there need for capabilities that are not provided through the enterprise's standard infrastructure application products? For example:</t>
  </si>
  <si>
    <t>Collaboration</t>
  </si>
  <si>
    <t>Application sharing</t>
  </si>
  <si>
    <t>Video conferencing</t>
  </si>
  <si>
    <t>Calendaring</t>
  </si>
  <si>
    <t>Email</t>
  </si>
  <si>
    <t>Workflow management</t>
  </si>
  <si>
    <t>Publishing/word processing applications</t>
  </si>
  <si>
    <t>HTML</t>
  </si>
  <si>
    <t>SGML and XML</t>
  </si>
  <si>
    <t>Portable document format</t>
  </si>
  <si>
    <t>Document processing (proprietary format)</t>
  </si>
  <si>
    <t>Desktop publishing</t>
  </si>
  <si>
    <t>Spreadsheet applications</t>
  </si>
  <si>
    <t>Presentation applications</t>
  </si>
  <si>
    <t>Business presentations</t>
  </si>
  <si>
    <t>Image</t>
  </si>
  <si>
    <t>Animation</t>
  </si>
  <si>
    <t>Video</t>
  </si>
  <si>
    <t>Sound</t>
  </si>
  <si>
    <t>CBT</t>
  </si>
  <si>
    <t>Web browsers</t>
  </si>
  <si>
    <t>Data management applications</t>
  </si>
  <si>
    <t>Database interface</t>
  </si>
  <si>
    <t>Document management</t>
  </si>
  <si>
    <t>Product data management</t>
  </si>
  <si>
    <t>Data warehouses/mart</t>
  </si>
  <si>
    <t>Program management applications</t>
  </si>
  <si>
    <t>Project management</t>
  </si>
  <si>
    <t>Program visibility</t>
  </si>
  <si>
    <t>Describe the business requirements for enterprise infrastructure application capabilities that are not met by the standard products.</t>
  </si>
  <si>
    <t>3.2 Business Applications</t>
  </si>
  <si>
    <t>Are any of the capabilities required provided by standard products supporting one or more line-of-business applications? For example:</t>
  </si>
  <si>
    <t>Business acquisition applications</t>
  </si>
  <si>
    <t>Sales and marketing</t>
  </si>
  <si>
    <t>Engineering applications</t>
  </si>
  <si>
    <t>Computer-aided design</t>
  </si>
  <si>
    <t>Computer-aided engineering</t>
  </si>
  <si>
    <t>Mathematical and statistics analysis</t>
  </si>
  <si>
    <t>Supplier management applications</t>
  </si>
  <si>
    <t>Supply chain management</t>
  </si>
  <si>
    <t>Customer relationship management</t>
  </si>
  <si>
    <t>Manufacturing applications</t>
  </si>
  <si>
    <t>Enterprise Resource Planning (ERP) applications</t>
  </si>
  <si>
    <t>Manufacturing execution systems</t>
  </si>
  <si>
    <t>Manufacturing quality</t>
  </si>
  <si>
    <t>Manufacturing process engineering</t>
  </si>
  <si>
    <t>Machine and adaptive control</t>
  </si>
  <si>
    <t>Customer support applications</t>
  </si>
  <si>
    <t>Airline logistics support</t>
  </si>
  <si>
    <t>Maintenance engineering</t>
  </si>
  <si>
    <t>Finance applications</t>
  </si>
  <si>
    <t>People applications</t>
  </si>
  <si>
    <t>Facilities applications</t>
  </si>
  <si>
    <t>Information systems applications</t>
  </si>
  <si>
    <t>Systems engineering</t>
  </si>
  <si>
    <t>Software engineering</t>
  </si>
  <si>
    <t>Web developer tools</t>
  </si>
  <si>
    <t>Integrated development environments</t>
  </si>
  <si>
    <t>Lifecycle categories</t>
  </si>
  <si>
    <t>Functional categories</t>
  </si>
  <si>
    <t>Specialty categories</t>
  </si>
  <si>
    <t>Computer-aided manufacturing</t>
  </si>
  <si>
    <t>e-Business enablement</t>
  </si>
  <si>
    <t>Business process engineering</t>
  </si>
  <si>
    <t>Statistical quality control</t>
  </si>
  <si>
    <t>Describe the process requirements for business application capabilities that are not met by the standard products.</t>
  </si>
  <si>
    <t>3.3 Application Integration Approach</t>
  </si>
  <si>
    <t>What integration points (business process/activity, application, data, computing environment) are targeted by this architecture?</t>
  </si>
  <si>
    <t>What application integration techniques will be applied (common business objects [ORBs], standard data definitions [STEP, XML, etc.], common user interface presentation/desktop)?</t>
  </si>
  <si>
    <t>4. Information Management Checklists</t>
  </si>
  <si>
    <t>4.1 Data Values</t>
  </si>
  <si>
    <t>What are the processes that standardize the management and use of the data?</t>
  </si>
  <si>
    <t>What business process supports the entry and validation of the data? Use of the data?</t>
  </si>
  <si>
    <t>What business actions correspond to the creation and modification of the data?</t>
  </si>
  <si>
    <t>What business actions correspond to the deletion of the data and is it considered part of a business record?</t>
  </si>
  <si>
    <t>What are the data quality requirements required by the business user?</t>
  </si>
  <si>
    <t>What processes are in place to support data referential integrity and/or normalization?</t>
  </si>
  <si>
    <t>4.2 Data Definition</t>
  </si>
  <si>
    <t>What are the data model, data definitions, structure, and hosting options of purchased applications (COTS)?</t>
  </si>
  <si>
    <t>What are the rules for defining and maintaining the data requirements and designs for all components of the information system?</t>
  </si>
  <si>
    <t>What shareable repository is used to capture the model content and the supporting information for data?</t>
  </si>
  <si>
    <t>What is the physical data model definition (derived from logical data models) used to design the database?</t>
  </si>
  <si>
    <t>What software development and data management tools have been selected?</t>
  </si>
  <si>
    <t>What data owners have been identified to be responsible for common data definitions, eliminating unplanned redundancy, providing consistently reliable, timely, and accurate information, and protecting data from misuse and destruction?</t>
  </si>
  <si>
    <t>4.3 Security/Protection</t>
  </si>
  <si>
    <t>What are the data entity and attribute access rules which protect the data from unintentional and unauthorized alterations, disclosure, and distribution?</t>
  </si>
  <si>
    <t>What are the data protection mechanisms to protect data from unauthorized external access?</t>
  </si>
  <si>
    <t>What are the data protection mechanisms to control access to data from external sources that temporarily have internal residence within the enterprise?</t>
  </si>
  <si>
    <t>4.4 Hosting, Data Types, and Sharing</t>
  </si>
  <si>
    <t>What is the discipline for managing sole-authority data as one logical source with defined updating rules for physical data residing on different platforms?</t>
  </si>
  <si>
    <t>What is the discipline for managing replicated data, which is derived from operational sole-authority data?</t>
  </si>
  <si>
    <t>What tier data server has been identified for the storage of high or medium-critical operational data?</t>
  </si>
  <si>
    <t>What tier data server has been identified for the storage of type C operational data?</t>
  </si>
  <si>
    <t>What tier data server has been identified for the storage of decision support data contained in a data warehouse?</t>
  </si>
  <si>
    <t>What Database Management Systems (DBMSs) have been implemented?</t>
  </si>
  <si>
    <t>4.5 Common Services</t>
  </si>
  <si>
    <t>What are the standardized distributed data management services (e.g., validation, consistency checks, data edits, encryption, and transaction management) and where do they reside?</t>
  </si>
  <si>
    <t>4.6 Access Method</t>
  </si>
  <si>
    <t>What are the data access requirements for standard file, message, and data management?</t>
  </si>
  <si>
    <t>What are the access requirements for decision support data?</t>
  </si>
  <si>
    <t>What are the data storage and the application logic locations?</t>
  </si>
  <si>
    <t>What query language is being used?</t>
  </si>
  <si>
    <t>5. Security Checklist</t>
  </si>
  <si>
    <t>Security Awareness: Have you ensured that the corporate security policies and guidelines to which you are designing are the latest versions? Have you read them? Are you aware of all relevant computing security compliance and risk acceptance processes? (Interviewer should list all relevant policies and guidelines.)</t>
  </si>
  <si>
    <t>Identification/Authentication: Diagram the process flow of how a user is identified to the application and how the application authenticates that the user is who they claim to be. Provide supporting documentation to the diagram explaining the flow from the user interface to the application/database server(s) and back to the user. Are you compliant with corporate policies on accounts, passwords, etc.?</t>
  </si>
  <si>
    <t>Authorization: Provide a process flow from beginning to end showing how a user requests access to the application, indicating the associated security controls and separation of duties. This should include how the request is approved by the appropriate data owner, how the user is placed into the appropriate access-level classification profile, how the user ID, password, and access is created and provided to the user. Also include how the user is informed of their responsibilities associated with using the application, given a copy of the access agreement, how to change password, who to call for help, etc.</t>
  </si>
  <si>
    <t>Access Controls: Document how the user IDs, passwords, and access profiles are added, changed, removed, and documented. The documentation should include who is responsible for these processes.</t>
  </si>
  <si>
    <t>Sensitive Information Protection: Provide documentation that identifies sensitive data requiring additional protection. Identify the data owners responsible for this data and the process to be used to protect storage, transmission, printing, and distribution of this data. Include how the password file/field is protected. How will users be prevented from viewing someone else's sensitive information? Are there agreements with outside parties (partners, suppliers, contractors, etc.) concerning the safeguarding of information? If so, what are the obligations?</t>
  </si>
  <si>
    <t>Audit Trails and Audit Logs: Identify and document group accounts required by the users or application support, including operating system group accounts. Identify and document individual accounts and/or roles that have superuser type privileges, what these privileges are, who has access to these accounts, how access to these accounts is controlled, tracked, and logged, and how password change and distribution are handled, including operating system accounts. Also identify audit logs, who can read the audit logs, who can modify the audit logs, who can delete the audit logs, and how the audit logs are protected and stored. Is the user ID obscured in the audit trails?</t>
  </si>
  <si>
    <t>External Access Considerations: Will the application be used internally only? If not, are you compliant with corporate external access requirements?</t>
  </si>
  <si>
    <t>6. System Management Checklist</t>
  </si>
  <si>
    <t>What is the frequency of software changes that must be distributed?</t>
  </si>
  <si>
    <t>What tools are used for software distribution?</t>
  </si>
  <si>
    <t>Are multiple software and/or data versions allowed in production?</t>
  </si>
  <si>
    <t>What is the user data backup frequency and expected restore time?</t>
  </si>
  <si>
    <t>How are user accounts created and managed?</t>
  </si>
  <si>
    <t>What is the system license management strategy?</t>
  </si>
  <si>
    <t>What general system administration tools are required?</t>
  </si>
  <si>
    <t>What specific application administration tools are required?</t>
  </si>
  <si>
    <t>What specific service administration tools are required?</t>
  </si>
  <si>
    <t>How are service calls received and dispatched?</t>
  </si>
  <si>
    <t>Describe how the system is uninstalled.</t>
  </si>
  <si>
    <t>Describe the process or tools available for checking that the system is properly installed.</t>
  </si>
  <si>
    <t>Describe tools or instrumentation that are available that monitor the health and performance of the system.</t>
  </si>
  <si>
    <t>Describe the tools or process in place that can be used to determine where the system has been installed.</t>
  </si>
  <si>
    <t>Describe what form of audit logs are in place to capture system history, particularly after a mishap.</t>
  </si>
  <si>
    <t>Describe the capabilities of the system to dispatch its own error messages to service personnel.</t>
  </si>
  <si>
    <t>7. System Engineering/Overall Architecture Checklists</t>
  </si>
  <si>
    <t>7.1 General</t>
  </si>
  <si>
    <t>What other applications and/or systems require integration with yours?</t>
  </si>
  <si>
    <t>Describe the integration level and strategy with each.</t>
  </si>
  <si>
    <t>How geographically distributed is the user base?</t>
  </si>
  <si>
    <t>What is the strategic importance of this system to other user communities inside or outside the enterprise?</t>
  </si>
  <si>
    <t>What computing resources are needed to provide system service to users inside the enterprise? Outside the enterprise and using enterprise computing assets? Outside the enterprise and using their own assets?</t>
  </si>
  <si>
    <t>How can users outside the native delivery environment access your applications and data?</t>
  </si>
  <si>
    <t>What is the life expectancy of this application?</t>
  </si>
  <si>
    <t>Describe the design that accommodates changes in the user base, stored data, and delivery system technology.</t>
  </si>
  <si>
    <t>What is the size of the user base and their expected performance level?</t>
  </si>
  <si>
    <t>What performance and stress test techniques do you use?</t>
  </si>
  <si>
    <t>What is the overall organization of the software and data components?</t>
  </si>
  <si>
    <t>What is the overall service and system configuration?</t>
  </si>
  <si>
    <t>How are software and data configured and mapped to the service and system configuration?</t>
  </si>
  <si>
    <t>What proprietary technology (hardware and software) is needed for this system?</t>
  </si>
  <si>
    <t>Describe how each and every version of the software can be reproduced and re-deployed over time.</t>
  </si>
  <si>
    <t>Describe the current user base and how that base is expected to change over the next three to five years.</t>
  </si>
  <si>
    <t>Describe the current geographic distribution of the user base and how that base is expected to change over the next three to five years.</t>
  </si>
  <si>
    <t>Describe how many current or future users need to use the application in a mobile capacity or who need to work off-line.</t>
  </si>
  <si>
    <t>Describe what the application generally does, the major components of the application, and the major data flows.</t>
  </si>
  <si>
    <t>Describe the instrumentation included in the application that allows for the health and performance of the application to be monitored.</t>
  </si>
  <si>
    <t>Describe the business justification for the system.</t>
  </si>
  <si>
    <t>Describe the rationale for picking the system development language over other options in terms of initial development cost versus long-term maintenance cost.</t>
  </si>
  <si>
    <t>Describe the systems analysis process that was used to come up with the system architecture and product selection phase of the system architecture.</t>
  </si>
  <si>
    <t>Who besides the original customer might have a use for or benefit from using this system?</t>
  </si>
  <si>
    <t>What percentage of the users use the system in browse mode versus update mode?</t>
  </si>
  <si>
    <t>What is the typical length of requests that are transactional?</t>
  </si>
  <si>
    <t>Do you need guaranteed data delivery or update, or does the system tolerate failure?</t>
  </si>
  <si>
    <t>What are the up-time requirements of the system?</t>
  </si>
  <si>
    <t>Describe where the system architecture adheres or does not adhere to standards.</t>
  </si>
  <si>
    <t>Describe the project planning and analysis approach used on the project.</t>
  </si>
  <si>
    <t>7.2 Processors/Servers/Clients</t>
  </si>
  <si>
    <t>Describe the client/server Application Architecture.</t>
  </si>
  <si>
    <t>Annotate the pictorial to illustrate where application functionality is executed.</t>
  </si>
  <si>
    <t>7.3 Client</t>
  </si>
  <si>
    <t>Are functions other than presentation performed on the user device?</t>
  </si>
  <si>
    <t>Describe the data and process help facility being provided.</t>
  </si>
  <si>
    <t>Describe the screen-to-screen navigation technique.</t>
  </si>
  <si>
    <t>Describe how the user navigates between this and other applications.</t>
  </si>
  <si>
    <t>How is this and other applications launched from the user device?</t>
  </si>
  <si>
    <t>Are there any inter-application data and process sharing capabilities? If so, describe what is being shared and by what technique/technology.</t>
  </si>
  <si>
    <t>Describe data volumes being transferred to the client.</t>
  </si>
  <si>
    <t>What are the additional requirements for local data storage to support the application?</t>
  </si>
  <si>
    <t>What are the additional requirements for local software storage/memory to support the application?</t>
  </si>
  <si>
    <t>Are there any known hardware/software conflicts or capacity limitations caused by other application requirements or situations which would affect the application users?</t>
  </si>
  <si>
    <t>Describe how the look-and-feel of your presentation layer compares to the look-and-feel of the other existing applications.</t>
  </si>
  <si>
    <t>Describe to what extent the client needs to support asynchronous and/or synchronous communication.</t>
  </si>
  <si>
    <t>Describe how the presentation layer of the system is separated from other computational or data transfer layers of the system.</t>
  </si>
  <si>
    <t>7.4 Application Server</t>
  </si>
  <si>
    <t>Can/do the presentation layer and application layers run on separate processors?</t>
  </si>
  <si>
    <t>Can/do the application layer and data access layer run on separate processors?</t>
  </si>
  <si>
    <t>Can this application be placed on an application server independent of all other applications? If not, explain the dependencies.</t>
  </si>
  <si>
    <t>Can additional parallel application servers be easily added? If so, what is the load balancing mechanism?</t>
  </si>
  <si>
    <t>Has the resource demand generated by the application been measured and what is the value? If so, has the capacity of the planned server been confirmed at the application and aggregate levels?</t>
  </si>
  <si>
    <t>7.5 Data Server</t>
  </si>
  <si>
    <t>Are there other applications which must share the data server? If so, identify them and describe the data and data access requirements.</t>
  </si>
  <si>
    <t>7.6 COTS (where applicable)</t>
  </si>
  <si>
    <t>Is the vendor substantial and stable?</t>
  </si>
  <si>
    <t>Will the enterprise receive source code upon demise of the vendor?</t>
  </si>
  <si>
    <t>Is this software configured for the enterprise's usage?</t>
  </si>
  <si>
    <t>Is there any peculiar A&amp;D data or processes that would impede the use of this software?</t>
  </si>
  <si>
    <t>Is this software currently available?</t>
  </si>
  <si>
    <t>Has it been used/demonstrated for volume/availability/service-level requirements similar to those of the enterprise?</t>
  </si>
  <si>
    <t>Describe the past financial and market share history of the vendor.</t>
  </si>
  <si>
    <t>7.7 System Engineering/Methods &amp; Tools Checklist</t>
  </si>
  <si>
    <t>Do metrics exist for the current way of doing business?</t>
  </si>
  <si>
    <t>Has the system owner created evaluation criteria that will be used to guide the project? Describe how the evaluation criteria will be used.</t>
  </si>
  <si>
    <t>Has research of existing architectures been done to leverage existing work? Describe the method used to discover and understand. Will the architectures be integrated? If so, explain the method that will be used.</t>
  </si>
  <si>
    <t>Describe the methods that will be used on the project:</t>
  </si>
  <si>
    <t>For defining business strategies</t>
  </si>
  <si>
    <t>For defining areas in need of improvement</t>
  </si>
  <si>
    <t>For defining baseline and target business processes</t>
  </si>
  <si>
    <t>For defining transition processes</t>
  </si>
  <si>
    <t>For managing the project</t>
  </si>
  <si>
    <t>For team communication</t>
  </si>
  <si>
    <t>For knowledge management, change management, and configuration management</t>
  </si>
  <si>
    <t>For software development</t>
  </si>
  <si>
    <t>For referencing standards and statements of direction</t>
  </si>
  <si>
    <t>For quality assurance of deliverables</t>
  </si>
  <si>
    <t>For design reviews and deliverable acceptance</t>
  </si>
  <si>
    <t>For capturing metrics</t>
  </si>
  <si>
    <t>Are the methods documented and distributed to each team member?</t>
  </si>
  <si>
    <t>To what extent are team members familiar with these methods?</t>
  </si>
  <si>
    <t>What processes are in place to ensure compliance with the methods?</t>
  </si>
  <si>
    <t>Describe the infrastructure that is in place to support the use of the methods through the end of the project and anticipated releases.</t>
  </si>
  <si>
    <t>How is consultation and trouble-shooting provided?</t>
  </si>
  <si>
    <t>How is training co-ordinated?</t>
  </si>
  <si>
    <t>How are changes and enhancements incorporated and cascaded?</t>
  </si>
  <si>
    <t>How are lessons learned captured and communicated?</t>
  </si>
  <si>
    <t>What tools are being used on the project? (Specify versions and platforms). To what extent are team members familiar with these tools?</t>
  </si>
  <si>
    <t>Describe the infrastructure that is in place to support the use of the tools through the end of the project and anticipated releases?</t>
  </si>
  <si>
    <t>Describe how the project will promote the re-use of its deliverables and deliverable content.</t>
  </si>
  <si>
    <t>Will the architecture designs "live" after the project has been implemented? Describe the method that will be used to incorporate changes back into the architecture designs.</t>
  </si>
  <si>
    <t>Were the current processes defined?</t>
  </si>
  <si>
    <t>Were issues documented, rated, and associated to current processes? If not, how do you know you are fixing something that is broken?</t>
  </si>
  <si>
    <t>Were existing/planned process improvement activities identified and associated to current processes? If not, how do you know this activity is not in conflict with or redundant to other Statements of Work?</t>
  </si>
  <si>
    <t>Do you have current metrics? Do you have forecasted metrics? If not, how do you know you are improving something?</t>
  </si>
  <si>
    <t>What processes will you put in place to gather, evaluate, and report metrics?</t>
  </si>
  <si>
    <t>What impacts will the new design have on existing business processes, organizations, and information systems? Have they been documented and shared with the owners?</t>
  </si>
  <si>
    <t>SmartCode MU Certification Audit Summary</t>
  </si>
  <si>
    <t>EP Convergence</t>
  </si>
  <si>
    <t>Shrikant Maurya</t>
  </si>
  <si>
    <t>Sirajudeen</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</si>
  <si>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t>
    </r>
    <r>
      <rPr>
        <sz val="10"/>
        <color rgb="FFFF0000"/>
        <rFont val="Calibri"/>
        <family val="2"/>
        <scheme val="minor"/>
      </rPr>
      <t xml:space="preserve">
</t>
    </r>
    <r>
      <rPr>
        <b/>
        <sz val="10"/>
        <rFont val="Calibri"/>
        <family val="2"/>
        <scheme val="minor"/>
      </rPr>
      <t xml:space="preserve">5. Gate Process: Gate processes are mandatory processes which are applicable to all projects. Those questions are marked in </t>
    </r>
    <r>
      <rPr>
        <b/>
        <sz val="10"/>
        <color rgb="FFFF0000"/>
        <rFont val="Calibri"/>
        <family val="2"/>
        <scheme val="minor"/>
      </rPr>
      <t>red text.</t>
    </r>
    <r>
      <rPr>
        <b/>
        <sz val="10"/>
        <rFont val="Calibri"/>
        <family val="2"/>
        <scheme val="minor"/>
      </rPr>
      <t xml:space="preserve"> Scoring for gate process checkpoints can either be "0" or "3".  Failing any gate process checkpoint will reduce the overall audit score by 50%. </t>
    </r>
  </si>
  <si>
    <t xml:space="preserve">SmartCode Audit Criteria </t>
  </si>
  <si>
    <r>
      <t xml:space="preserve">Design &amp; Design Reviews : </t>
    </r>
    <r>
      <rPr>
        <sz val="10"/>
        <color theme="1"/>
        <rFont val="Calibri"/>
        <family val="2"/>
        <scheme val="minor"/>
      </rPr>
      <t xml:space="preserve">To verify that design documents (incl. light weight docs) are prepared and reviewed. </t>
    </r>
  </si>
  <si>
    <t>Five teams.
18 developers in team.</t>
  </si>
  <si>
    <t>Verified some of the team members like Mahesh , Hadish and they have not completed Smar Code Training</t>
  </si>
  <si>
    <t>Is the design document/ impact analysis prepared prior to writing code and exists for ALL of the enhancements or requirements?
Is the existing code analyzed for its reuse before creating new? Is the same documented in Design / Impact Analysis document?
(Note:  Auditor to verify
Incase of UI changes - Documented acceptance criteria should work as Impact analysis
If changes are across multiple layers of the applications (e.g. a new control is added on UI then it may have impact till DB layer) in such cases Design and Impact Analysis documents is required)</t>
  </si>
  <si>
    <t xml:space="preserve">1. Doesn’t look like team is preparing design document first for all teams.
2. Low Level Design document is having just code file or on liner.
3. names or some code with no details aligned with proposed solution .
4. Impact Analysis is not documented
</t>
  </si>
  <si>
    <t>Verified for 825012, 824135, 824136
5. High level design document is there but no linking with story or version tracking</t>
  </si>
  <si>
    <t>Are the SOLID design principles and design patterns being used which are covered in Smart Code training? Demonstrate in the design document/Code.  
Are all the team members aware of which SOLID design principles are implemented in their project?
(Note:
Auditor to verify the code and auditee to demonstrate the code which implement the SOLID principle and not the design document. Design document verification should be secondary for this unless a low level design document is created)</t>
  </si>
  <si>
    <t>Team is aware of SOLID and is following Interface Seggregation and Inversion of Control principles</t>
  </si>
  <si>
    <t xml:space="preserve">
Does the design document cover  changes /impact to DB structure, GUI, Exception handling, Requirement considerations.
Is the design to code traceability clear?
Note: Auditor to verify -
If the team can map the content mentioned in design document to actual code base . If architecture diagram talks about authentication framework then code base should be able to show it.)</t>
  </si>
  <si>
    <t xml:space="preserve">Low Level Design document is not proper Design to Code tracebility is missing
Solutioning proposal is missing </t>
  </si>
  <si>
    <t>Verified for 825012, 824135, 824136</t>
  </si>
  <si>
    <t>Is the design document / impact analysis reviewed using the Design review checklist configured in QMS? 
Has the review guidelines been enhanced to include client provided guidelines and applicable project specific guidelines? 
Are the review feedbacks logged &amp; actioned accordingly?
Note: Auditor to verify the adequacy of the review guidelines based on the nature of work being done / criticality of the project</t>
  </si>
  <si>
    <t>No Design review request found in QMS
No Design review tracebility is there for story.
High level design document is present and reviewed</t>
  </si>
  <si>
    <t>Verified for 824135, 824136</t>
  </si>
  <si>
    <t>Are the performance considerations implemented in code? E.g. memory caching, in Proc sessions, local file storage, code optimized for performance etc. 
 - Is the performance baseline criteria defined for  the project?
-Are any techniques like, Lazy loading, UI caching, DB table indexing used?
-In case of Web  API how the threshold values are handled (maximum requests which can be served by API) ?
-Is the team doing UI modularization for better performance
-Is the team doing minification of the libraries which are being loaded while UI is getting rendered
Note: Auditor to review some of the database queries and programs to ensure they are optimized and performance tuned (as applicable).
Auditors to check the deployment architecture to understand how load balancing is done for applications</t>
  </si>
  <si>
    <t>Team is taking care of performance by implementing SOLID , Cloud based Scaling and microservice architecture etc</t>
  </si>
  <si>
    <t>Are the security considerations implemented in code? E.g. OWASP guidelines, etc.
- Are the access control is implemented in project, how the authentication is implemented?
 - What steps taken for avoiding SQL injection?
 - What steps are taken to avoid cross side scripting?
 - Is encryption being used for storing critical information or passing it over the internet?
Note: Auditor to review some of the database queries and programs to ensure they are optimized and performance tuned (as applicable)</t>
  </si>
  <si>
    <t>Team is using token based security and working based on intranet</t>
  </si>
  <si>
    <t>In case of code change, has the user story references added in revision history / check-in comments of configuration management tool (SVN, TFS, Perforce) for traceability?</t>
  </si>
  <si>
    <t>Team is adding story number in comments but is inconistent in 30% of the case</t>
  </si>
  <si>
    <t>Verified for 824136</t>
  </si>
  <si>
    <t>In case of code changes in existing programs, has the old code (E.g. test, sample, pilot code, code comments, hard coding done for debugging) been deleted to ensure clean code delivery?
Are environment settings configurable and NOT hard coded as applicable?</t>
  </si>
  <si>
    <t>Team is writing clean code</t>
  </si>
  <si>
    <t>No dummy code found in commented format</t>
  </si>
  <si>
    <t>Has the coding guidelines been configured for the relevant technologies used in the project?
Has the review guidelines been enhanced to include client provided guidelines and applicable project specific guidelines? 
Does the guidelines include security &amp; performance related checkpoints? 
Note: Auditor to verify the adequacy of the review guidelines based on the nature of work being done / criticality of the project</t>
  </si>
  <si>
    <t xml:space="preserve">Coding Guidelines are configured.
</t>
  </si>
  <si>
    <t xml:space="preserve">Team has configured Angular and Dotnet.
</t>
  </si>
  <si>
    <r>
      <t xml:space="preserve">Is the peer code reviews for all code deliveries done? Are the client provided guidelines adhered? Are the code review comments tracked in source Code tool - GIT/TFS/Perforce if no source control tool used, then tracked in QMS?
Has the project criteria to determine Green, Yellow and Red code review defined and documented within the project.
</t>
    </r>
    <r>
      <rPr>
        <b/>
        <sz val="10"/>
        <color rgb="FFFF0000"/>
        <rFont val="Calibri"/>
        <family val="2"/>
        <scheme val="minor"/>
      </rPr>
      <t>Note: Auditor to conduct review of few major recent code deliverables and compare the feedback with the peer review results</t>
    </r>
  </si>
  <si>
    <t xml:space="preserve">Peer Code review is done </t>
  </si>
  <si>
    <r>
      <t xml:space="preserve">Unit Testing: </t>
    </r>
    <r>
      <rPr>
        <sz val="10"/>
        <color theme="1"/>
        <rFont val="Calibri"/>
        <family val="2"/>
        <scheme val="minor"/>
      </rPr>
      <t>To verify that Unit test cases are prepared and code is unit tested.</t>
    </r>
  </si>
  <si>
    <t>Gate process: 
Manual &amp; Automation Unit testing:
Are the unit test cases prepared for ALL of the enhancements or requirements with sufficient Unit testing scenarios (Positive, Negative, Boundary conditions, error handling etc.) that are different from QA test case scenarios?
In case of automation unit testing, are appropriate automation frameworks used? Is consistent naming conventions followed? Are automated unit test cases written consistently for all the deliverables?
Are minimum of 3 negative unit test scenarios identified for each program in addition to the positive unit test scenarios? (applicable for both manual &amp; automated unit testing)
Note: Auditor to verify the adequacy of few manual and automated unit test cases based on the nature of work being done / criticality of the project and compare the feedback with the peer unit test case results</t>
  </si>
  <si>
    <t>Team is following  Unit Testing and writing appropriate number of test cases for verification</t>
  </si>
  <si>
    <r>
      <rPr>
        <b/>
        <sz val="10"/>
        <color rgb="FFFF0000"/>
        <rFont val="Calibri"/>
        <family val="2"/>
        <scheme val="minor"/>
      </rPr>
      <t>Gate process:</t>
    </r>
    <r>
      <rPr>
        <sz val="10"/>
        <color rgb="FFFF0000"/>
        <rFont val="Calibri"/>
        <family val="2"/>
        <scheme val="minor"/>
      </rPr>
      <t xml:space="preserve"> 
Manual &amp; Automation Unit testing:
Are unit test execution results captured in the Unit test case documents for ALL of the enhancements or requirements? Are the unit test cases mapped to requirements for traceability?
</t>
    </r>
    <r>
      <rPr>
        <b/>
        <sz val="10"/>
        <color rgb="FFFF0000"/>
        <rFont val="Calibri"/>
        <family val="2"/>
        <scheme val="minor"/>
      </rPr>
      <t>Note: Auditor to verify for one of the unit test case class whether it is covering all the methods of code by executing the automated unit tests</t>
    </r>
  </si>
  <si>
    <t>Unit test case result in captured in excel document in QMS</t>
  </si>
  <si>
    <t>Automation Unit testing:
Is the automation unit test code coverage target been defined for the project?
Is the code coverage being monitored and tracked to achieve the defined target?
Auditor to verify the code coverage percentage in the tool (Minimum 80% is achieved or as per project / client defined target)</t>
  </si>
  <si>
    <t>NA</t>
  </si>
  <si>
    <t>zwcxcce3swaaaqqqwwwwwwwwwwwwz</t>
  </si>
  <si>
    <t>Is an automated code review tool been identified for the project &amp; standard configuration is baselined as per project requirement? 
In the absence of a licensed  code review tool, an alternate free tool should be identified for conducting the automated code reviews.</t>
  </si>
  <si>
    <t>LINTING</t>
  </si>
  <si>
    <t>Is the continuous integration (CI) environment setup to generate the build on daily/fixed interval basis? Or triggered by check-ins?</t>
  </si>
  <si>
    <t>Yes</t>
  </si>
  <si>
    <t>Is automated code review tool integrated with the CI build setup? 
Is the tool configuration setup standardized across all team members &amp; the team members use the identified tools consistently for conducting reviews? 
Is the list of tool errors to be ignored or fixed is documented / configured &amp; known to team?</t>
  </si>
  <si>
    <r>
      <t xml:space="preserve">Is the CI build setup configured such that the build will not get created if the automated code review findings are not actioned?
Are all automated code review findings actioned appropriately?
Is there a visible difference in the pre &amp; post automated tool code review findings? (No errors shown in post actioning of tool review) 
</t>
    </r>
    <r>
      <rPr>
        <b/>
        <sz val="10"/>
        <rFont val="Calibri"/>
        <family val="2"/>
        <scheme val="minor"/>
      </rPr>
      <t xml:space="preserve">Note: Auditor to run the tool on few delivered programs to check for any issues identified by the tool.  </t>
    </r>
  </si>
  <si>
    <t>Team is using CICD pipeline</t>
  </si>
  <si>
    <t>SmartCode MU Topping Total Score</t>
  </si>
  <si>
    <t>Project or Implementation Level Document</t>
  </si>
  <si>
    <t>User Story Level Document</t>
  </si>
  <si>
    <t>Dev Practices</t>
  </si>
  <si>
    <t>High Level Design Document - CT/Confluence</t>
  </si>
  <si>
    <t>Low Level Design Document(if applicable)   - CT/Confluence</t>
  </si>
  <si>
    <t>Apply appropriate SOLID Principle</t>
  </si>
  <si>
    <t>Get and Document Design Approval from Approvers</t>
  </si>
  <si>
    <t>Solution Design Document with technical approach taken</t>
  </si>
  <si>
    <t>Apply applicable Design Pattern</t>
  </si>
  <si>
    <t>Configure Coding Guidelines for Project technologies</t>
  </si>
  <si>
    <t>Must Link related User story for Commits</t>
  </si>
  <si>
    <t>Do and Document the Impact Analysis of Change</t>
  </si>
  <si>
    <t>Apply applicable Performance Optimization</t>
  </si>
  <si>
    <t>Rollback Document</t>
  </si>
  <si>
    <t>Apply Security considerations</t>
  </si>
  <si>
    <t>Unit Test Document[Both Positive and Negative is must]</t>
  </si>
  <si>
    <t>Follow Clean code and DRY Principle</t>
  </si>
  <si>
    <t>Create QMS Work review for the Audit user story</t>
  </si>
  <si>
    <t>Write Unit Tests</t>
  </si>
  <si>
    <t xml:space="preserve">Peer Review </t>
  </si>
  <si>
    <t>Implement CI and CD</t>
  </si>
  <si>
    <t>Integrate Automated Code review toolslike Checkmarx,Sonarqube</t>
  </si>
  <si>
    <t xml:space="preserve">Ensure &gt;80% Unit Test coverage at application level </t>
  </si>
  <si>
    <t xml:space="preserve">Ensure 100% Unit Test coverage at Change level </t>
  </si>
  <si>
    <t>QA Practices</t>
  </si>
  <si>
    <t>Capture Test cases  in ADO</t>
  </si>
  <si>
    <t>Document Test results in ADO</t>
  </si>
  <si>
    <t>Write Automated Test cases</t>
  </si>
  <si>
    <t>Developer and QA Certifications</t>
  </si>
  <si>
    <t>Complete Smart Code courses in UniverCT</t>
  </si>
  <si>
    <t>Complete Smart QA Courses in UniverCT</t>
  </si>
  <si>
    <t xml:space="preserve">CitiusTech Smart MU Certification Framework </t>
  </si>
  <si>
    <t>#</t>
  </si>
  <si>
    <t>Audit Type</t>
  </si>
  <si>
    <t>Key Focus Areas</t>
  </si>
  <si>
    <t>Validity</t>
  </si>
  <si>
    <t>Auditor(s)</t>
  </si>
  <si>
    <t xml:space="preserve">Audit Duration </t>
  </si>
  <si>
    <t>Audit Criteria</t>
  </si>
  <si>
    <t>Remarks</t>
  </si>
  <si>
    <t>SmartCode MU Certification</t>
  </si>
  <si>
    <t xml:space="preserve">Review meaningful use &amp; compliance to SmartCode criteria for development &amp; test automation projects. 
</t>
  </si>
  <si>
    <t>6 months</t>
  </si>
  <si>
    <t>Quality Team &amp; Trained SmartCode MU auditors.</t>
  </si>
  <si>
    <t>1 Hr</t>
  </si>
  <si>
    <t>SmartCode MU Criteria - Annexure 1</t>
  </si>
  <si>
    <t xml:space="preserve">
Request for the Smart MU certfication to be raised to the Quality team by mail with CC to MDL. 
Based on request from ADL/ PL, one or multiple Smart MU certifcations can be planned for a project by the Quality team. 
Smart MU auditor list will be maintained by the Quality team.  MDLs to nominate Smart Auditors. 
While planning the Smart MU certification audits for the month, the respective Smart MU auditor will be allocated by the Quality team. </t>
  </si>
  <si>
    <t>SmartTest MU Certification</t>
  </si>
  <si>
    <t xml:space="preserve">Review meaningful use &amp;  compliance to SmartTest checklist for projects which have QA testing in scope. 
</t>
  </si>
  <si>
    <t>Quality Team &amp; Trained SmartTest MU auditors.</t>
  </si>
  <si>
    <t>SmartTest MU Criteria - Annexure 2</t>
  </si>
  <si>
    <t>SmartScrum MU Certification</t>
  </si>
  <si>
    <t xml:space="preserve">Review meaningful use &amp; compliance to SmartScrum checklist for projects which follow Scrum agile practices.
</t>
  </si>
  <si>
    <t>Quality Team &amp; Trained SmartScrum MU auditors.</t>
  </si>
  <si>
    <t>SmartScrum MU Criteria - Annexure 3</t>
  </si>
  <si>
    <t>SmartAutomation MU Certification</t>
  </si>
  <si>
    <t xml:space="preserve">Review meaningful use &amp; compliance to SmartAutomation checklist for test automation projects
</t>
  </si>
  <si>
    <t>Quality Team &amp; Trained SmartAutomation MU auditors.</t>
  </si>
  <si>
    <t>SmartAutomation MU Criteria - Annexure 4</t>
  </si>
  <si>
    <t>SmartArch MU Certification</t>
  </si>
  <si>
    <t>Review meaningful use &amp; compliance to SmartArch checklist to validate the architecture by senior architects</t>
  </si>
  <si>
    <t>Quality Team &amp; Trained SmartArch MU auditors.</t>
  </si>
  <si>
    <t>SmartArch MU Criteria - Annexure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</si>
</sst>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3">
    <font>
      <sz val="11"/>
      <color theme="1"/>
      <name val="Calibri"/>
      <family val="2"/>
      <scheme val="minor"/>
    </font>
    <font>
      <b/>
      <sz val="11"/>
      <color theme="1"/>
      <name val="Calibri"/>
      <family val="2"/>
      <scheme val="minor"/>
    </font>
    <font>
      <b/>
      <sz val="20"/>
      <color theme="1"/>
      <name val="Calibri"/>
      <family val="2"/>
      <scheme val="minor"/>
    </font>
    <font>
      <sz val="11"/>
      <color theme="1"/>
      <name val="Calibri"/>
      <family val="2"/>
      <scheme val="minor"/>
    </font>
    <font>
      <u/>
      <sz val="11"/>
      <color theme="10"/>
      <name val="Calibri"/>
      <family val="2"/>
      <scheme val="minor"/>
    </font>
    <font>
      <b/>
      <sz val="10"/>
      <color theme="1"/>
      <name val="Calibri"/>
      <family val="2"/>
      <scheme val="minor"/>
    </font>
    <font>
      <b/>
      <sz val="12"/>
      <color theme="1"/>
      <name val="Calibri"/>
      <family val="2"/>
      <scheme val="minor"/>
    </font>
    <font>
      <b/>
      <sz val="12"/>
      <color theme="0"/>
      <name val="Calibri"/>
      <family val="2"/>
      <scheme val="minor"/>
    </font>
    <font>
      <sz val="10"/>
      <color theme="1"/>
      <name val="Calibri"/>
      <family val="2"/>
      <scheme val="minor"/>
    </font>
    <font>
      <sz val="10"/>
      <name val="Arial"/>
      <family val="2"/>
    </font>
    <font>
      <b/>
      <sz val="11"/>
      <name val="Calibri"/>
      <family val="2"/>
      <scheme val="minor"/>
    </font>
    <font>
      <sz val="11"/>
      <name val="Calibri"/>
      <family val="2"/>
      <scheme val="minor"/>
    </font>
    <font>
      <b/>
      <sz val="11"/>
      <name val="Calibri"/>
      <family val="2"/>
    </font>
    <font>
      <sz val="11"/>
      <name val="Calibri"/>
      <family val="2"/>
    </font>
    <font>
      <sz val="10"/>
      <name val="Calibri"/>
      <family val="2"/>
      <scheme val="minor"/>
    </font>
    <font>
      <b/>
      <sz val="10"/>
      <name val="Calibri"/>
      <family val="2"/>
      <scheme val="minor"/>
    </font>
    <font>
      <sz val="10"/>
      <color rgb="FFFF0000"/>
      <name val="Calibri"/>
      <family val="2"/>
      <scheme val="minor"/>
    </font>
    <font>
      <b/>
      <sz val="10"/>
      <color theme="0"/>
      <name val="Calibri"/>
      <family val="2"/>
      <scheme val="minor"/>
    </font>
    <font>
      <b/>
      <sz val="9"/>
      <name val="Calibri"/>
      <family val="2"/>
      <scheme val="minor"/>
    </font>
    <font>
      <b/>
      <sz val="10"/>
      <color rgb="FFFF0000"/>
      <name val="Calibri"/>
      <family val="2"/>
      <scheme val="minor"/>
    </font>
    <font>
      <sz val="11"/>
      <color theme="0"/>
      <name val="Calibri"/>
      <family val="2"/>
      <scheme val="minor"/>
    </font>
    <font>
      <i/>
      <sz val="10"/>
      <name val="Calibri"/>
      <family val="2"/>
      <scheme val="minor"/>
    </font>
    <font>
      <sz val="9"/>
      <color indexed="81"/>
      <name val="Tahoma"/>
      <family val="2"/>
    </font>
  </fonts>
  <fills count="10">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3"/>
        <bgColor indexed="64"/>
      </patternFill>
    </fill>
    <fill>
      <patternFill patternType="solid">
        <fgColor theme="3" tint="0.59999389629810485"/>
        <bgColor indexed="64"/>
      </patternFill>
    </fill>
    <fill>
      <patternFill patternType="solid">
        <fgColor theme="4"/>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4" fillId="0" borderId="0" applyNumberFormat="0" applyFill="0" applyBorder="0" applyAlignment="0" applyProtection="0"/>
    <xf numFmtId="43" fontId="3" fillId="0" borderId="0" applyFont="0" applyFill="0" applyBorder="0" applyAlignment="0" applyProtection="0"/>
    <xf numFmtId="0" fontId="9" fillId="0" borderId="0"/>
  </cellStyleXfs>
  <cellXfs count="11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center" vertical="top" wrapText="1"/>
    </xf>
    <xf numFmtId="0" fontId="1" fillId="0" borderId="0" xfId="0" applyFont="1" applyAlignment="1">
      <alignment horizontal="center" vertical="top" wrapText="1"/>
    </xf>
    <xf numFmtId="0" fontId="0" fillId="0" borderId="0" xfId="0" applyAlignment="1">
      <alignment horizontal="left" vertical="top"/>
    </xf>
    <xf numFmtId="0" fontId="4" fillId="0" borderId="1" xfId="1" applyBorder="1" applyAlignment="1">
      <alignment horizontal="left" vertical="top" wrapText="1"/>
    </xf>
    <xf numFmtId="0" fontId="6" fillId="2" borderId="1" xfId="0" applyFont="1" applyFill="1" applyBorder="1" applyAlignment="1">
      <alignment horizontal="center" vertical="top" wrapText="1"/>
    </xf>
    <xf numFmtId="0" fontId="8" fillId="0" borderId="0" xfId="0" applyFont="1" applyAlignment="1" applyProtection="1">
      <alignment horizontal="left"/>
      <protection locked="0" hidden="1"/>
    </xf>
    <xf numFmtId="0" fontId="5" fillId="0" borderId="1" xfId="0" applyFont="1" applyBorder="1" applyAlignment="1" applyProtection="1">
      <alignment vertical="top" wrapText="1"/>
      <protection locked="0" hidden="1"/>
    </xf>
    <xf numFmtId="0" fontId="5" fillId="2" borderId="1" xfId="0" applyFont="1" applyFill="1" applyBorder="1" applyAlignment="1" applyProtection="1">
      <alignment horizontal="center" vertical="top" wrapText="1"/>
      <protection locked="0" hidden="1"/>
    </xf>
    <xf numFmtId="0" fontId="5" fillId="2" borderId="1" xfId="0" applyFont="1" applyFill="1" applyBorder="1" applyAlignment="1" applyProtection="1">
      <alignment horizontal="center" vertical="top" wrapText="1"/>
      <protection hidden="1"/>
    </xf>
    <xf numFmtId="0" fontId="5" fillId="0" borderId="1" xfId="0" applyFont="1" applyBorder="1" applyAlignment="1" applyProtection="1">
      <alignment horizontal="left" vertical="top" wrapText="1"/>
      <protection locked="0" hidden="1"/>
    </xf>
    <xf numFmtId="0" fontId="8" fillId="0" borderId="0" xfId="0" applyFont="1"/>
    <xf numFmtId="0" fontId="8"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center" vertical="top" wrapText="1"/>
    </xf>
    <xf numFmtId="0" fontId="11" fillId="0" borderId="1" xfId="0" applyFont="1" applyBorder="1" applyAlignment="1">
      <alignment horizontal="left" vertical="top" wrapText="1"/>
    </xf>
    <xf numFmtId="0" fontId="11" fillId="0" borderId="0" xfId="0" applyFont="1" applyAlignment="1">
      <alignment horizontal="left" vertical="top"/>
    </xf>
    <xf numFmtId="0" fontId="12" fillId="0" borderId="0" xfId="0" applyFont="1" applyAlignment="1">
      <alignment horizontal="left" vertical="top"/>
    </xf>
    <xf numFmtId="0" fontId="11" fillId="0" borderId="0" xfId="0" applyFont="1" applyAlignment="1">
      <alignment vertical="top" wrapText="1"/>
    </xf>
    <xf numFmtId="164" fontId="13" fillId="0" borderId="1" xfId="0" applyNumberFormat="1" applyFont="1" applyBorder="1" applyAlignment="1">
      <alignment horizontal="justify" vertical="top" wrapText="1"/>
    </xf>
    <xf numFmtId="15" fontId="11" fillId="0" borderId="1" xfId="0" applyNumberFormat="1" applyFont="1" applyBorder="1" applyAlignment="1">
      <alignment horizontal="center" vertical="top"/>
    </xf>
    <xf numFmtId="15" fontId="13" fillId="0" borderId="1" xfId="0" applyNumberFormat="1" applyFont="1" applyBorder="1" applyAlignment="1">
      <alignment horizontal="center" vertical="top" wrapText="1"/>
    </xf>
    <xf numFmtId="0" fontId="13" fillId="0" borderId="1" xfId="0" applyFont="1" applyBorder="1" applyAlignment="1">
      <alignment horizontal="justify" vertical="top" wrapText="1"/>
    </xf>
    <xf numFmtId="0" fontId="12" fillId="0" borderId="1" xfId="0" applyFont="1" applyBorder="1" applyAlignment="1">
      <alignment horizontal="center" vertical="top" wrapText="1"/>
    </xf>
    <xf numFmtId="0" fontId="11" fillId="0" borderId="0" xfId="0" applyFont="1" applyAlignment="1">
      <alignment horizontal="center" vertical="top"/>
    </xf>
    <xf numFmtId="0" fontId="8" fillId="0" borderId="1" xfId="0" applyFont="1" applyBorder="1" applyAlignment="1" applyProtection="1">
      <alignment horizontal="center" vertical="top" wrapText="1"/>
      <protection locked="0" hidden="1"/>
    </xf>
    <xf numFmtId="0" fontId="8" fillId="0" borderId="1" xfId="0" applyFont="1" applyBorder="1" applyAlignment="1">
      <alignment horizontal="center" vertical="top"/>
    </xf>
    <xf numFmtId="0" fontId="8" fillId="0" borderId="1" xfId="0" applyFont="1" applyBorder="1" applyAlignment="1" applyProtection="1">
      <alignment horizontal="left" vertical="top" wrapText="1"/>
      <protection locked="0" hidden="1"/>
    </xf>
    <xf numFmtId="0" fontId="0" fillId="0" borderId="1" xfId="0" applyBorder="1" applyAlignment="1">
      <alignment horizontal="left" vertical="top" wrapText="1"/>
    </xf>
    <xf numFmtId="0" fontId="4" fillId="0" borderId="0" xfId="1" applyAlignment="1">
      <alignment vertical="top" wrapText="1"/>
    </xf>
    <xf numFmtId="0" fontId="14" fillId="0" borderId="1" xfId="0" applyFont="1" applyBorder="1" applyAlignment="1">
      <alignment vertical="top" wrapText="1"/>
    </xf>
    <xf numFmtId="0" fontId="14" fillId="0" borderId="1" xfId="0" applyFont="1" applyBorder="1" applyAlignment="1">
      <alignment horizontal="center" vertical="top" wrapText="1"/>
    </xf>
    <xf numFmtId="0" fontId="14" fillId="0" borderId="1" xfId="0" applyFont="1" applyBorder="1" applyAlignment="1" applyProtection="1">
      <alignment horizontal="center" vertical="top" wrapText="1"/>
      <protection locked="0" hidden="1"/>
    </xf>
    <xf numFmtId="0" fontId="14" fillId="0" borderId="1" xfId="0" applyFont="1" applyBorder="1" applyAlignment="1">
      <alignment vertical="top"/>
    </xf>
    <xf numFmtId="0" fontId="14" fillId="7" borderId="1" xfId="0" applyFont="1" applyFill="1" applyBorder="1" applyAlignment="1">
      <alignment vertical="top" wrapText="1"/>
    </xf>
    <xf numFmtId="0" fontId="8" fillId="0" borderId="1" xfId="0" quotePrefix="1" applyFont="1" applyBorder="1" applyAlignment="1">
      <alignment horizontal="left" vertical="top" wrapText="1"/>
    </xf>
    <xf numFmtId="0" fontId="8" fillId="0" borderId="1" xfId="0" applyFont="1" applyBorder="1" applyAlignment="1">
      <alignment horizontal="left" vertical="top"/>
    </xf>
    <xf numFmtId="0" fontId="14" fillId="0" borderId="1" xfId="0" quotePrefix="1" applyFont="1" applyBorder="1" applyAlignment="1">
      <alignment horizontal="left" vertical="top" wrapText="1"/>
    </xf>
    <xf numFmtId="0" fontId="8" fillId="0" borderId="1" xfId="0" applyFont="1" applyBorder="1" applyAlignment="1">
      <alignment horizontal="left" vertical="top" wrapText="1"/>
    </xf>
    <xf numFmtId="0" fontId="14" fillId="0" borderId="1" xfId="0" applyFont="1" applyBorder="1" applyAlignment="1">
      <alignment horizontal="left" vertical="top" wrapText="1"/>
    </xf>
    <xf numFmtId="0" fontId="16" fillId="0" borderId="1" xfId="0" applyFont="1" applyBorder="1" applyAlignment="1">
      <alignment vertical="top" wrapText="1"/>
    </xf>
    <xf numFmtId="0" fontId="0" fillId="0" borderId="0" xfId="0" applyAlignment="1">
      <alignment wrapText="1"/>
    </xf>
    <xf numFmtId="0" fontId="18" fillId="2" borderId="1" xfId="0" applyFont="1" applyFill="1" applyBorder="1" applyAlignment="1" applyProtection="1">
      <alignment horizontal="center" vertical="top" wrapText="1"/>
      <protection locked="0" hidden="1"/>
    </xf>
    <xf numFmtId="0" fontId="8" fillId="0" borderId="0" xfId="0" quotePrefix="1" applyFont="1" applyAlignment="1" applyProtection="1">
      <alignment horizontal="left"/>
      <protection locked="0" hidden="1"/>
    </xf>
    <xf numFmtId="15" fontId="5" fillId="0" borderId="1" xfId="0" applyNumberFormat="1" applyFont="1" applyBorder="1" applyAlignment="1" applyProtection="1">
      <alignment horizontal="left" vertical="top" wrapText="1"/>
      <protection locked="0" hidden="1"/>
    </xf>
    <xf numFmtId="9" fontId="8" fillId="0" borderId="1" xfId="0" applyNumberFormat="1" applyFont="1" applyBorder="1" applyAlignment="1" applyProtection="1">
      <alignment horizontal="left" vertical="top" wrapText="1"/>
      <protection locked="0" hidden="1"/>
    </xf>
    <xf numFmtId="0" fontId="15" fillId="2" borderId="1" xfId="0" applyFont="1" applyFill="1" applyBorder="1" applyAlignment="1" applyProtection="1">
      <alignment horizontal="center" vertical="top" wrapText="1"/>
      <protection hidden="1"/>
    </xf>
    <xf numFmtId="0" fontId="15" fillId="2" borderId="1" xfId="0" applyFont="1" applyFill="1" applyBorder="1" applyAlignment="1" applyProtection="1">
      <alignment horizontal="left" vertical="top" wrapText="1"/>
      <protection locked="0" hidden="1"/>
    </xf>
    <xf numFmtId="0" fontId="15" fillId="2" borderId="1" xfId="0" applyFont="1" applyFill="1" applyBorder="1" applyAlignment="1" applyProtection="1">
      <alignment vertical="top" wrapText="1"/>
      <protection locked="0" hidden="1"/>
    </xf>
    <xf numFmtId="0" fontId="5" fillId="0" borderId="0" xfId="0" applyFont="1" applyAlignment="1" applyProtection="1">
      <alignment vertical="top" wrapText="1"/>
      <protection locked="0" hidden="1"/>
    </xf>
    <xf numFmtId="0" fontId="0" fillId="0" borderId="0" xfId="0" applyAlignment="1">
      <alignment horizontal="center"/>
    </xf>
    <xf numFmtId="0" fontId="5" fillId="0" borderId="1" xfId="0" applyFont="1" applyBorder="1" applyAlignment="1" applyProtection="1">
      <alignment horizontal="left" vertical="center" wrapText="1"/>
      <protection locked="0" hidden="1"/>
    </xf>
    <xf numFmtId="0" fontId="1" fillId="8" borderId="1" xfId="0" applyFont="1" applyFill="1" applyBorder="1" applyAlignment="1">
      <alignment horizontal="center" vertical="center"/>
    </xf>
    <xf numFmtId="0" fontId="0" fillId="0" borderId="1" xfId="0" applyBorder="1" applyAlignment="1">
      <alignment horizontal="left" wrapText="1"/>
    </xf>
    <xf numFmtId="0" fontId="0" fillId="0" borderId="1" xfId="0" applyBorder="1"/>
    <xf numFmtId="0" fontId="1" fillId="8" borderId="1" xfId="0" applyFont="1" applyFill="1" applyBorder="1" applyAlignment="1">
      <alignment horizontal="left"/>
    </xf>
    <xf numFmtId="0" fontId="1" fillId="8" borderId="1" xfId="0" applyFont="1" applyFill="1" applyBorder="1"/>
    <xf numFmtId="0" fontId="0" fillId="0" borderId="1" xfId="0" applyBorder="1" applyAlignment="1">
      <alignment horizontal="center" vertical="top"/>
    </xf>
    <xf numFmtId="0" fontId="0" fillId="0" borderId="1" xfId="0" applyBorder="1" applyAlignment="1">
      <alignment vertical="top"/>
    </xf>
    <xf numFmtId="0" fontId="0" fillId="0" borderId="0" xfId="0" applyAlignment="1">
      <alignment vertical="top"/>
    </xf>
    <xf numFmtId="0" fontId="0" fillId="0" borderId="1" xfId="0" applyBorder="1" applyAlignment="1">
      <alignment wrapText="1"/>
    </xf>
    <xf numFmtId="0" fontId="14" fillId="0" borderId="16" xfId="0" applyFont="1" applyBorder="1" applyAlignment="1">
      <alignment vertical="top" wrapText="1"/>
    </xf>
    <xf numFmtId="0" fontId="5" fillId="2" borderId="1" xfId="0" applyFont="1" applyFill="1" applyBorder="1" applyAlignment="1" applyProtection="1">
      <alignment horizontal="left" vertical="top" wrapText="1"/>
      <protection locked="0" hidden="1"/>
    </xf>
    <xf numFmtId="164" fontId="5" fillId="0" borderId="1" xfId="0" applyNumberFormat="1" applyFont="1" applyBorder="1" applyAlignment="1" applyProtection="1">
      <alignment horizontal="center" vertical="center" wrapText="1"/>
      <protection hidden="1"/>
    </xf>
    <xf numFmtId="0" fontId="5" fillId="0" borderId="1" xfId="0" applyFont="1" applyBorder="1" applyAlignment="1" applyProtection="1">
      <alignment horizontal="center" vertical="top" wrapText="1"/>
      <protection locked="0" hidden="1"/>
    </xf>
    <xf numFmtId="14" fontId="5" fillId="0" borderId="1" xfId="0" applyNumberFormat="1" applyFont="1" applyBorder="1" applyAlignment="1" applyProtection="1">
      <alignment horizontal="left" vertical="top" wrapText="1"/>
      <protection locked="0" hidden="1"/>
    </xf>
    <xf numFmtId="0" fontId="8" fillId="0" borderId="2" xfId="0" applyFont="1" applyBorder="1" applyAlignment="1" applyProtection="1">
      <alignment horizontal="center" vertical="top" wrapText="1"/>
      <protection locked="0" hidden="1"/>
    </xf>
    <xf numFmtId="0" fontId="1" fillId="0" borderId="0" xfId="0" applyFont="1"/>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4" xfId="0" applyFont="1" applyBorder="1" applyAlignment="1">
      <alignment horizontal="left" vertical="top" wrapText="1"/>
    </xf>
    <xf numFmtId="0" fontId="11" fillId="0" borderId="11" xfId="0" applyFont="1" applyBorder="1" applyAlignment="1">
      <alignment horizontal="left" vertical="top" wrapText="1"/>
    </xf>
    <xf numFmtId="0" fontId="11" fillId="0" borderId="5" xfId="0" applyFont="1" applyBorder="1" applyAlignment="1">
      <alignment horizontal="left" vertical="top" wrapText="1"/>
    </xf>
    <xf numFmtId="0" fontId="5" fillId="2" borderId="1" xfId="0" applyFont="1" applyFill="1" applyBorder="1" applyAlignment="1" applyProtection="1">
      <alignment horizontal="left" vertical="top" wrapText="1"/>
      <protection locked="0" hidden="1"/>
    </xf>
    <xf numFmtId="0" fontId="7" fillId="4" borderId="1" xfId="0" applyFont="1" applyFill="1" applyBorder="1" applyAlignment="1" applyProtection="1">
      <alignment horizontal="center" vertical="top" wrapText="1"/>
      <protection locked="0" hidden="1"/>
    </xf>
    <xf numFmtId="0" fontId="5" fillId="5" borderId="1" xfId="0" applyFont="1" applyFill="1" applyBorder="1" applyAlignment="1" applyProtection="1">
      <alignment horizontal="left" vertical="top" wrapText="1"/>
      <protection locked="0" hidden="1"/>
    </xf>
    <xf numFmtId="0" fontId="15" fillId="5" borderId="1" xfId="0" applyFont="1" applyFill="1" applyBorder="1" applyAlignment="1" applyProtection="1">
      <alignment horizontal="left" vertical="top" wrapText="1"/>
      <protection locked="0" hidden="1"/>
    </xf>
    <xf numFmtId="0" fontId="8" fillId="0" borderId="1" xfId="0" applyFont="1" applyBorder="1" applyAlignment="1">
      <alignment horizontal="left" vertical="top" wrapText="1"/>
    </xf>
    <xf numFmtId="0" fontId="5" fillId="0" borderId="2" xfId="0" applyFont="1" applyBorder="1" applyAlignment="1" applyProtection="1">
      <alignment horizontal="center" vertical="top" wrapText="1"/>
      <protection locked="0" hidden="1"/>
    </xf>
    <xf numFmtId="0" fontId="5" fillId="0" borderId="15" xfId="0" applyFont="1" applyBorder="1" applyAlignment="1" applyProtection="1">
      <alignment horizontal="center" vertical="top" wrapText="1"/>
      <protection locked="0" hidden="1"/>
    </xf>
    <xf numFmtId="164" fontId="5" fillId="0" borderId="1" xfId="0" applyNumberFormat="1" applyFont="1" applyBorder="1" applyAlignment="1" applyProtection="1">
      <alignment horizontal="center" vertical="center" wrapText="1"/>
      <protection hidden="1"/>
    </xf>
    <xf numFmtId="0" fontId="5" fillId="0" borderId="1" xfId="0" applyFont="1" applyBorder="1" applyAlignment="1" applyProtection="1">
      <alignment horizontal="center" vertical="top" wrapText="1"/>
      <protection locked="0" hidden="1"/>
    </xf>
    <xf numFmtId="0" fontId="17" fillId="4" borderId="2" xfId="0" applyFont="1" applyFill="1" applyBorder="1" applyAlignment="1" applyProtection="1">
      <alignment horizontal="center" vertical="top" wrapText="1"/>
      <protection locked="0" hidden="1"/>
    </xf>
    <xf numFmtId="0" fontId="17" fillId="4" borderId="3" xfId="0" applyFont="1" applyFill="1" applyBorder="1" applyAlignment="1" applyProtection="1">
      <alignment horizontal="center" vertical="top" wrapText="1"/>
      <protection locked="0" hidden="1"/>
    </xf>
    <xf numFmtId="0" fontId="5" fillId="5" borderId="2" xfId="0" applyFont="1" applyFill="1" applyBorder="1" applyAlignment="1" applyProtection="1">
      <alignment horizontal="left" vertical="top" wrapText="1"/>
      <protection locked="0" hidden="1"/>
    </xf>
    <xf numFmtId="0" fontId="5" fillId="5" borderId="3" xfId="0" applyFont="1" applyFill="1" applyBorder="1" applyAlignment="1" applyProtection="1">
      <alignment horizontal="left" vertical="top" wrapText="1"/>
      <protection locked="0" hidden="1"/>
    </xf>
    <xf numFmtId="0" fontId="5" fillId="2" borderId="2" xfId="0" applyFont="1" applyFill="1" applyBorder="1" applyAlignment="1" applyProtection="1">
      <alignment horizontal="left" vertical="top" wrapText="1"/>
      <protection locked="0" hidden="1"/>
    </xf>
    <xf numFmtId="0" fontId="5" fillId="2" borderId="3" xfId="0" applyFont="1" applyFill="1" applyBorder="1" applyAlignment="1" applyProtection="1">
      <alignment horizontal="left" vertical="top" wrapText="1"/>
      <protection locked="0" hidden="1"/>
    </xf>
    <xf numFmtId="0" fontId="8" fillId="0" borderId="6" xfId="0" applyFont="1" applyBorder="1" applyAlignment="1">
      <alignment horizontal="left" vertical="top" wrapText="1"/>
    </xf>
    <xf numFmtId="0" fontId="8" fillId="0" borderId="0" xfId="0" applyFont="1" applyAlignment="1">
      <alignment horizontal="left" vertical="top" wrapText="1"/>
    </xf>
    <xf numFmtId="0" fontId="14" fillId="0" borderId="1" xfId="0" applyFont="1" applyBorder="1" applyAlignment="1">
      <alignment horizontal="left" vertical="top" wrapText="1"/>
    </xf>
    <xf numFmtId="0" fontId="15" fillId="2" borderId="2" xfId="0" applyFont="1" applyFill="1" applyBorder="1" applyAlignment="1" applyProtection="1">
      <alignment horizontal="right" vertical="top" wrapText="1"/>
      <protection locked="0" hidden="1"/>
    </xf>
    <xf numFmtId="0" fontId="15" fillId="2" borderId="15" xfId="0" applyFont="1" applyFill="1" applyBorder="1" applyAlignment="1" applyProtection="1">
      <alignment horizontal="right" vertical="top" wrapText="1"/>
      <protection locked="0" hidden="1"/>
    </xf>
    <xf numFmtId="0" fontId="5" fillId="0" borderId="2" xfId="0" applyFont="1" applyBorder="1" applyAlignment="1" applyProtection="1">
      <alignment horizontal="left" vertical="top" wrapText="1"/>
      <protection locked="0" hidden="1"/>
    </xf>
    <xf numFmtId="0" fontId="5" fillId="0" borderId="3" xfId="0" applyFont="1" applyBorder="1" applyAlignment="1" applyProtection="1">
      <alignment horizontal="left" vertical="top" wrapText="1"/>
      <protection locked="0" hidden="1"/>
    </xf>
    <xf numFmtId="0" fontId="5" fillId="0" borderId="15" xfId="0" applyFont="1" applyBorder="1" applyAlignment="1" applyProtection="1">
      <alignment horizontal="left" vertical="top" wrapText="1"/>
      <protection locked="0" hidden="1"/>
    </xf>
    <xf numFmtId="0" fontId="7" fillId="4" borderId="0" xfId="0" applyFont="1" applyFill="1" applyAlignment="1" applyProtection="1">
      <alignment horizontal="center" vertical="top" wrapText="1"/>
      <protection locked="0" hidden="1"/>
    </xf>
    <xf numFmtId="0" fontId="14" fillId="0" borderId="2" xfId="0" applyFont="1" applyBorder="1" applyAlignment="1">
      <alignment horizontal="left" vertical="top" wrapText="1"/>
    </xf>
    <xf numFmtId="0" fontId="14" fillId="0" borderId="3" xfId="0" applyFont="1" applyBorder="1" applyAlignment="1">
      <alignment horizontal="left" vertical="top" wrapText="1"/>
    </xf>
    <xf numFmtId="0" fontId="14" fillId="0" borderId="15" xfId="0" applyFont="1" applyBorder="1" applyAlignment="1">
      <alignment horizontal="left" vertical="top" wrapText="1"/>
    </xf>
    <xf numFmtId="0" fontId="1" fillId="9" borderId="2" xfId="0" applyFont="1" applyFill="1" applyBorder="1" applyAlignment="1">
      <alignment horizontal="left" vertical="top" wrapText="1"/>
    </xf>
    <xf numFmtId="0" fontId="1" fillId="9" borderId="15" xfId="0" applyFont="1" applyFill="1" applyBorder="1" applyAlignment="1">
      <alignment horizontal="left" vertical="top" wrapText="1"/>
    </xf>
    <xf numFmtId="0" fontId="20" fillId="4" borderId="1" xfId="0" applyFont="1" applyFill="1" applyBorder="1" applyAlignment="1" applyProtection="1">
      <alignment horizontal="center" vertical="top" wrapText="1"/>
      <protection locked="0" hidden="1"/>
    </xf>
    <xf numFmtId="0" fontId="1" fillId="2"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2" fillId="0" borderId="1" xfId="0" applyFont="1"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6" borderId="2" xfId="0" applyFill="1" applyBorder="1" applyAlignment="1">
      <alignment horizontal="center" vertical="top" wrapText="1"/>
    </xf>
    <xf numFmtId="0" fontId="0" fillId="6" borderId="3" xfId="0" applyFill="1" applyBorder="1" applyAlignment="1">
      <alignment horizontal="center" vertical="top" wrapText="1"/>
    </xf>
    <xf numFmtId="0" fontId="0" fillId="6" borderId="15" xfId="0" applyFill="1" applyBorder="1" applyAlignment="1">
      <alignment horizontal="center" vertical="top" wrapText="1"/>
    </xf>
  </cellXfs>
  <cellStyles count="4">
    <cellStyle name="Comma 2" xfId="2" xr:uid="{00000000-0005-0000-0000-000000000000}"/>
    <cellStyle name="Hyperlink" xfId="1" builtinId="8"/>
    <cellStyle name="Normal" xfId="0" builtinId="0"/>
    <cellStyle name="Normal 2" xfId="3" xr:uid="{00000000-0005-0000-0000-000003000000}"/>
  </cellStyles>
  <dxfs count="22">
    <dxf>
      <font>
        <color auto="1"/>
      </font>
      <fill>
        <patternFill>
          <bgColor rgb="FFFF0000"/>
        </patternFill>
      </fill>
    </dxf>
    <dxf>
      <font>
        <color theme="1"/>
      </font>
      <fill>
        <patternFill>
          <bgColor rgb="FF00B050"/>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auto="1"/>
      </font>
      <fill>
        <patternFill>
          <bgColor rgb="FFFF0000"/>
        </patternFill>
      </fill>
    </dxf>
    <dxf>
      <font>
        <color theme="1"/>
      </font>
      <fill>
        <patternFill>
          <bgColor rgb="FF00B050"/>
        </patternFill>
      </fill>
    </dxf>
    <dxf>
      <font>
        <color auto="1"/>
      </font>
      <fill>
        <patternFill>
          <bgColor rgb="FFFF0000"/>
        </patternFill>
      </fill>
    </dxf>
    <dxf>
      <font>
        <color theme="1"/>
      </font>
      <fill>
        <patternFill>
          <bgColor rgb="FF00B050"/>
        </patternFill>
      </fill>
    </dxf>
    <dxf>
      <font>
        <color auto="1"/>
      </font>
      <fill>
        <patternFill>
          <bgColor rgb="FFFF0000"/>
        </patternFill>
      </fill>
    </dxf>
    <dxf>
      <font>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mitad\AppData\Local\Microsoft\Windows\Temporary%20Internet%20Files\Content.Outlook\F31XH6AV\CT%20SmartArch%20MU%20Review%20Framework_Report%20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SmartArchMU Review Checklist"/>
      <sheetName val="CT SmartArch MU Review Report"/>
      <sheetName val="Reference- TOGAF Guidelines"/>
      <sheetName val="Sheet2"/>
    </sheetNames>
    <sheetDataSet>
      <sheetData sheetId="0"/>
      <sheetData sheetId="1"/>
      <sheetData sheetId="2"/>
      <sheetData sheetId="3">
        <row r="1">
          <cell r="A1" t="str">
            <v>Architecture</v>
          </cell>
        </row>
        <row r="2">
          <cell r="A2" t="str">
            <v>Requirements</v>
          </cell>
        </row>
        <row r="3">
          <cell r="A3" t="str">
            <v>Design Patterns and Anti-Design Patterns</v>
          </cell>
        </row>
        <row r="4">
          <cell r="A4" t="str">
            <v>Software Architecture (NFR)</v>
          </cell>
        </row>
        <row r="5">
          <cell r="A5" t="str">
            <v>Design for Performance</v>
          </cell>
        </row>
        <row r="6">
          <cell r="A6" t="str">
            <v>Design for Security</v>
          </cell>
        </row>
        <row r="7">
          <cell r="A7" t="str">
            <v>Cloud Computing</v>
          </cell>
        </row>
        <row r="8">
          <cell r="A8" t="str">
            <v>Big Data</v>
          </cell>
        </row>
        <row r="9">
          <cell r="A9" t="str">
            <v>Mobile App Development</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view="pageLayout" zoomScale="90" zoomScaleNormal="100" zoomScalePageLayoutView="90" workbookViewId="0">
      <selection sqref="A1:F3"/>
    </sheetView>
  </sheetViews>
  <sheetFormatPr defaultColWidth="9.140625" defaultRowHeight="15"/>
  <cols>
    <col min="1" max="1" width="10.5703125" style="18" customWidth="1"/>
    <col min="2" max="2" width="10" style="18" customWidth="1"/>
    <col min="3" max="3" width="15.140625" style="18" customWidth="1"/>
    <col min="4" max="4" width="24" style="18" customWidth="1"/>
    <col min="5" max="5" width="19.7109375" style="18" customWidth="1"/>
    <col min="6" max="6" width="43" style="18" customWidth="1"/>
    <col min="7" max="16384" width="9.140625" style="18"/>
  </cols>
  <sheetData>
    <row r="1" spans="1:6">
      <c r="A1" s="70" t="s">
        <v>0</v>
      </c>
      <c r="B1" s="71"/>
      <c r="C1" s="71"/>
      <c r="D1" s="71"/>
      <c r="E1" s="71"/>
      <c r="F1" s="72"/>
    </row>
    <row r="2" spans="1:6">
      <c r="A2" s="73"/>
      <c r="B2" s="74"/>
      <c r="C2" s="74"/>
      <c r="D2" s="74"/>
      <c r="E2" s="74"/>
      <c r="F2" s="75"/>
    </row>
    <row r="3" spans="1:6">
      <c r="A3" s="76"/>
      <c r="B3" s="77"/>
      <c r="C3" s="77"/>
      <c r="D3" s="77"/>
      <c r="E3" s="77"/>
      <c r="F3" s="78"/>
    </row>
    <row r="4" spans="1:6">
      <c r="A4" s="19" t="s">
        <v>1</v>
      </c>
      <c r="F4" s="20"/>
    </row>
    <row r="5" spans="1:6" s="26" customFormat="1" ht="30">
      <c r="A5" s="25" t="s">
        <v>2</v>
      </c>
      <c r="B5" s="25" t="s">
        <v>3</v>
      </c>
      <c r="C5" s="25" t="s">
        <v>4</v>
      </c>
      <c r="D5" s="25" t="s">
        <v>5</v>
      </c>
      <c r="E5" s="25" t="s">
        <v>6</v>
      </c>
      <c r="F5" s="25" t="s">
        <v>7</v>
      </c>
    </row>
    <row r="6" spans="1:6" ht="30">
      <c r="A6" s="21">
        <v>1.1000000000000001</v>
      </c>
      <c r="B6" s="23">
        <v>41485</v>
      </c>
      <c r="C6" s="24" t="s">
        <v>8</v>
      </c>
      <c r="D6" s="24" t="s">
        <v>9</v>
      </c>
      <c r="E6" s="22">
        <v>41491</v>
      </c>
      <c r="F6" s="17" t="s">
        <v>10</v>
      </c>
    </row>
    <row r="7" spans="1:6" ht="60">
      <c r="A7" s="21">
        <v>1.2</v>
      </c>
      <c r="B7" s="23">
        <v>41730</v>
      </c>
      <c r="C7" s="24" t="s">
        <v>11</v>
      </c>
      <c r="D7" s="24" t="s">
        <v>9</v>
      </c>
      <c r="E7" s="22">
        <v>41730</v>
      </c>
      <c r="F7" s="17" t="s">
        <v>12</v>
      </c>
    </row>
    <row r="8" spans="1:6" ht="90">
      <c r="A8" s="21">
        <v>1.3</v>
      </c>
      <c r="B8" s="23">
        <v>41946</v>
      </c>
      <c r="C8" s="24" t="s">
        <v>11</v>
      </c>
      <c r="D8" s="24" t="s">
        <v>9</v>
      </c>
      <c r="E8" s="22">
        <v>41948</v>
      </c>
      <c r="F8" s="17" t="s">
        <v>13</v>
      </c>
    </row>
    <row r="9" spans="1:6" ht="90">
      <c r="A9" s="21">
        <v>1.4</v>
      </c>
      <c r="B9" s="23">
        <v>42594</v>
      </c>
      <c r="C9" s="24" t="s">
        <v>14</v>
      </c>
      <c r="D9" s="24" t="s">
        <v>9</v>
      </c>
      <c r="E9" s="23">
        <v>42595</v>
      </c>
      <c r="F9" s="17" t="s">
        <v>15</v>
      </c>
    </row>
    <row r="10" spans="1:6" ht="30">
      <c r="A10" s="21">
        <v>1.5</v>
      </c>
      <c r="B10" s="23">
        <v>43105</v>
      </c>
      <c r="C10" s="24" t="s">
        <v>16</v>
      </c>
      <c r="D10" s="24" t="s">
        <v>9</v>
      </c>
      <c r="E10" s="23">
        <v>43108</v>
      </c>
      <c r="F10" s="17" t="s">
        <v>17</v>
      </c>
    </row>
    <row r="11" spans="1:6" ht="30">
      <c r="A11" s="21">
        <v>1.6</v>
      </c>
      <c r="B11" s="23">
        <v>43429</v>
      </c>
      <c r="C11" s="24" t="s">
        <v>16</v>
      </c>
      <c r="D11" s="24" t="s">
        <v>9</v>
      </c>
      <c r="E11" s="23">
        <v>43434</v>
      </c>
      <c r="F11" s="17" t="s">
        <v>18</v>
      </c>
    </row>
    <row r="12" spans="1:6" ht="60">
      <c r="A12" s="21">
        <v>1.7</v>
      </c>
      <c r="B12" s="23">
        <v>43953</v>
      </c>
      <c r="C12" s="24" t="s">
        <v>19</v>
      </c>
      <c r="D12" s="24" t="s">
        <v>9</v>
      </c>
      <c r="E12" s="23">
        <v>43956</v>
      </c>
      <c r="F12" s="17" t="s">
        <v>20</v>
      </c>
    </row>
  </sheetData>
  <mergeCells count="1">
    <mergeCell ref="A1:F3"/>
  </mergeCells>
  <pageMargins left="0.70866141732283472" right="0.70866141732283472" top="0.74803149606299213" bottom="0.74803149606299213" header="0.31496062992125984" footer="0.31496062992125984"/>
  <pageSetup paperSize="9" orientation="landscape" r:id="rId1"/>
  <headerFooter>
    <oddHeader>&amp;C&amp;"-,Bold"&amp;12CitiusTech Smart MU Certification Framework &amp;R&amp;G</oddHeader>
    <oddFooter>&amp;LTemplate Version 1.6 / 30 Nov 2018&amp;CCitiusTech Internal</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showGridLines="0" view="pageLayout" topLeftCell="A10" zoomScale="90" zoomScaleNormal="100" zoomScalePageLayoutView="90" workbookViewId="0">
      <selection activeCell="C11" sqref="C11"/>
    </sheetView>
  </sheetViews>
  <sheetFormatPr defaultRowHeight="15"/>
  <cols>
    <col min="1" max="1" width="15.5703125" customWidth="1"/>
    <col min="2" max="2" width="51.140625" customWidth="1"/>
    <col min="3" max="3" width="8.5703125" customWidth="1"/>
    <col min="4" max="4" width="10" customWidth="1"/>
    <col min="5" max="5" width="21.42578125" customWidth="1"/>
    <col min="6" max="6" width="20.42578125" customWidth="1"/>
  </cols>
  <sheetData>
    <row r="1" spans="1:7" s="8" customFormat="1" ht="15.75">
      <c r="A1" s="80" t="s">
        <v>21</v>
      </c>
      <c r="B1" s="80"/>
      <c r="C1" s="80"/>
      <c r="D1" s="80"/>
      <c r="E1" s="80"/>
      <c r="F1" s="80"/>
    </row>
    <row r="2" spans="1:7" s="8" customFormat="1" ht="12.75">
      <c r="A2" s="9" t="s">
        <v>22</v>
      </c>
      <c r="B2" s="84"/>
      <c r="C2" s="85"/>
      <c r="D2" s="66"/>
      <c r="E2" s="12" t="s">
        <v>23</v>
      </c>
      <c r="F2" s="12"/>
    </row>
    <row r="3" spans="1:7" s="8" customFormat="1" ht="25.5">
      <c r="A3" s="9" t="s">
        <v>24</v>
      </c>
      <c r="B3" s="84"/>
      <c r="C3" s="85"/>
      <c r="D3" s="66"/>
      <c r="E3" s="12" t="s">
        <v>25</v>
      </c>
      <c r="F3" s="12"/>
    </row>
    <row r="4" spans="1:7" s="8" customFormat="1" ht="38.25">
      <c r="A4" s="9" t="s">
        <v>26</v>
      </c>
      <c r="B4" s="86" t="str">
        <f>IFERROR(IF(C23&lt;3,(IFERROR((C32/(COUNTIF(C10:C31,"&gt;=0")*3)*100),"")*0.5),(IFERROR((C32/(COUNTIF(C10:C31,"&gt;=0")*3)*100),""))),"")</f>
        <v/>
      </c>
      <c r="C4" s="86"/>
      <c r="D4" s="65"/>
      <c r="E4" s="12" t="s">
        <v>27</v>
      </c>
      <c r="F4" s="12"/>
    </row>
    <row r="5" spans="1:7" s="8" customFormat="1" ht="39" customHeight="1">
      <c r="A5" s="9" t="s">
        <v>28</v>
      </c>
      <c r="B5" s="86" t="str">
        <f>IFERROR(IF(D24&lt;3,(IFERROR((D32/(COUNTIF(D10:D31,"&gt;=0")*3)*100),"")*0.5),(IFERROR((D32/(COUNTIF(D10:D31,"&gt;=0")*3)*100),""))),"")</f>
        <v/>
      </c>
      <c r="C5" s="86"/>
      <c r="D5" s="65"/>
      <c r="E5" s="12" t="s">
        <v>29</v>
      </c>
      <c r="F5" s="12"/>
      <c r="G5" s="45"/>
    </row>
    <row r="6" spans="1:7" ht="15.75">
      <c r="A6" s="80" t="s">
        <v>30</v>
      </c>
      <c r="B6" s="80"/>
      <c r="C6" s="80"/>
      <c r="D6" s="80"/>
      <c r="E6" s="80"/>
      <c r="F6" s="80"/>
    </row>
    <row r="7" spans="1:7" s="13" customFormat="1" ht="108" customHeight="1">
      <c r="A7" s="83" t="s">
        <v>31</v>
      </c>
      <c r="B7" s="83"/>
      <c r="C7" s="83"/>
      <c r="D7" s="83"/>
      <c r="E7" s="83"/>
      <c r="F7" s="83"/>
    </row>
    <row r="8" spans="1:7" ht="15.75">
      <c r="A8" s="80" t="s">
        <v>32</v>
      </c>
      <c r="B8" s="80"/>
      <c r="C8" s="80"/>
      <c r="D8" s="80"/>
      <c r="E8" s="80"/>
      <c r="F8" s="80"/>
    </row>
    <row r="9" spans="1:7" s="13" customFormat="1" ht="36">
      <c r="A9" s="10" t="s">
        <v>33</v>
      </c>
      <c r="B9" s="10" t="s">
        <v>34</v>
      </c>
      <c r="C9" s="44" t="s">
        <v>35</v>
      </c>
      <c r="D9" s="44" t="s">
        <v>36</v>
      </c>
      <c r="E9" s="10" t="s">
        <v>37</v>
      </c>
      <c r="F9" s="10" t="s">
        <v>38</v>
      </c>
    </row>
    <row r="10" spans="1:7" s="13" customFormat="1" ht="12.75">
      <c r="A10" s="81" t="s">
        <v>39</v>
      </c>
      <c r="B10" s="81"/>
      <c r="C10" s="81"/>
      <c r="D10" s="81"/>
      <c r="E10" s="81"/>
      <c r="F10" s="81"/>
    </row>
    <row r="11" spans="1:7" s="13" customFormat="1" ht="140.25">
      <c r="A11" s="16">
        <v>1</v>
      </c>
      <c r="B11" s="14" t="s">
        <v>40</v>
      </c>
      <c r="C11" s="27"/>
      <c r="D11" s="27"/>
      <c r="E11" s="15"/>
      <c r="F11" s="15"/>
    </row>
    <row r="12" spans="1:7" s="13" customFormat="1" ht="38.25">
      <c r="A12" s="16">
        <v>2</v>
      </c>
      <c r="B12" s="14" t="s">
        <v>41</v>
      </c>
      <c r="C12" s="27"/>
      <c r="D12" s="27"/>
      <c r="E12" s="15"/>
      <c r="F12" s="15"/>
    </row>
    <row r="13" spans="1:7" s="13" customFormat="1" ht="119.25" customHeight="1">
      <c r="A13" s="16">
        <v>3</v>
      </c>
      <c r="B13" s="32" t="s">
        <v>42</v>
      </c>
      <c r="C13" s="27"/>
      <c r="D13" s="27"/>
      <c r="E13" s="15"/>
      <c r="F13" s="15"/>
    </row>
    <row r="14" spans="1:7" s="13" customFormat="1" ht="12.75">
      <c r="A14" s="82" t="s">
        <v>43</v>
      </c>
      <c r="B14" s="82"/>
      <c r="C14" s="82"/>
      <c r="D14" s="82"/>
      <c r="E14" s="82"/>
      <c r="F14" s="82"/>
    </row>
    <row r="15" spans="1:7" s="13" customFormat="1" ht="114.75">
      <c r="A15" s="33">
        <v>4</v>
      </c>
      <c r="B15" s="32" t="s">
        <v>44</v>
      </c>
      <c r="C15" s="34"/>
      <c r="D15" s="34"/>
      <c r="E15" s="35"/>
      <c r="F15" s="35"/>
    </row>
    <row r="16" spans="1:7" s="13" customFormat="1" ht="114.75">
      <c r="A16" s="33">
        <v>5</v>
      </c>
      <c r="B16" s="32" t="s">
        <v>45</v>
      </c>
      <c r="C16" s="34"/>
      <c r="D16" s="34"/>
      <c r="E16" s="35"/>
      <c r="F16" s="35"/>
    </row>
    <row r="17" spans="1:6" s="13" customFormat="1" ht="76.5">
      <c r="A17" s="33">
        <v>6</v>
      </c>
      <c r="B17" s="32" t="s">
        <v>46</v>
      </c>
      <c r="C17" s="34"/>
      <c r="D17" s="34"/>
      <c r="E17" s="35"/>
      <c r="F17" s="35"/>
    </row>
    <row r="18" spans="1:6" s="13" customFormat="1" ht="12.75">
      <c r="A18" s="81" t="s">
        <v>47</v>
      </c>
      <c r="B18" s="81"/>
      <c r="C18" s="81"/>
      <c r="D18" s="81"/>
      <c r="E18" s="81"/>
      <c r="F18" s="81"/>
    </row>
    <row r="19" spans="1:6" s="13" customFormat="1" ht="302.25" customHeight="1">
      <c r="A19" s="16">
        <v>7</v>
      </c>
      <c r="B19" s="32" t="s">
        <v>48</v>
      </c>
      <c r="C19" s="27"/>
      <c r="D19" s="27"/>
      <c r="E19" s="14"/>
      <c r="F19" s="15"/>
    </row>
    <row r="20" spans="1:6" s="13" customFormat="1" ht="153">
      <c r="A20" s="16">
        <v>8</v>
      </c>
      <c r="B20" s="32" t="s">
        <v>49</v>
      </c>
      <c r="C20" s="27"/>
      <c r="D20" s="27"/>
      <c r="E20" s="14"/>
      <c r="F20" s="15"/>
    </row>
    <row r="21" spans="1:6" s="13" customFormat="1" ht="12.75">
      <c r="A21" s="81" t="s">
        <v>50</v>
      </c>
      <c r="B21" s="81"/>
      <c r="C21" s="81"/>
      <c r="D21" s="81"/>
      <c r="E21" s="81"/>
      <c r="F21" s="81"/>
    </row>
    <row r="22" spans="1:6" s="13" customFormat="1" ht="76.5">
      <c r="A22" s="16">
        <v>9</v>
      </c>
      <c r="B22" s="32" t="s">
        <v>51</v>
      </c>
      <c r="C22" s="27"/>
      <c r="D22" s="27"/>
      <c r="E22" s="15"/>
      <c r="F22" s="15"/>
    </row>
    <row r="23" spans="1:6" s="13" customFormat="1" ht="89.25">
      <c r="A23" s="16">
        <v>10</v>
      </c>
      <c r="B23" s="42" t="s">
        <v>52</v>
      </c>
      <c r="C23" s="27"/>
      <c r="D23" s="27"/>
      <c r="E23" s="15"/>
      <c r="F23" s="15"/>
    </row>
    <row r="24" spans="1:6" s="13" customFormat="1" ht="114.75">
      <c r="A24" s="16">
        <v>11</v>
      </c>
      <c r="B24" s="42" t="s">
        <v>53</v>
      </c>
      <c r="C24" s="27"/>
      <c r="D24" s="27"/>
      <c r="E24" s="15"/>
      <c r="F24" s="15"/>
    </row>
    <row r="25" spans="1:6" s="13" customFormat="1" ht="114.75">
      <c r="A25" s="16">
        <v>12</v>
      </c>
      <c r="B25" s="32" t="s">
        <v>54</v>
      </c>
      <c r="C25" s="27"/>
      <c r="D25" s="27"/>
      <c r="E25" s="15"/>
      <c r="F25" s="15"/>
    </row>
    <row r="26" spans="1:6" s="13" customFormat="1" ht="105" customHeight="1">
      <c r="A26" s="16">
        <v>13</v>
      </c>
      <c r="B26" s="32" t="s">
        <v>55</v>
      </c>
      <c r="C26" s="27"/>
      <c r="D26" s="27"/>
      <c r="E26" s="15"/>
      <c r="F26" s="15"/>
    </row>
    <row r="27" spans="1:6" s="13" customFormat="1" ht="12.75">
      <c r="A27" s="82" t="s">
        <v>56</v>
      </c>
      <c r="B27" s="82"/>
      <c r="C27" s="82"/>
      <c r="D27" s="82"/>
      <c r="E27" s="82"/>
      <c r="F27" s="82"/>
    </row>
    <row r="28" spans="1:6" s="13" customFormat="1" ht="89.25">
      <c r="A28" s="33">
        <v>14</v>
      </c>
      <c r="B28" s="32" t="s">
        <v>57</v>
      </c>
      <c r="C28" s="34"/>
      <c r="D28" s="34"/>
      <c r="E28" s="35"/>
      <c r="F28" s="35"/>
    </row>
    <row r="29" spans="1:6" s="13" customFormat="1" ht="12.75">
      <c r="A29" s="81" t="s">
        <v>58</v>
      </c>
      <c r="B29" s="81"/>
      <c r="C29" s="81"/>
      <c r="D29" s="81"/>
      <c r="E29" s="81"/>
      <c r="F29" s="81"/>
    </row>
    <row r="30" spans="1:6" s="13" customFormat="1" ht="232.5" customHeight="1">
      <c r="A30" s="16">
        <v>15</v>
      </c>
      <c r="B30" s="32" t="s">
        <v>59</v>
      </c>
      <c r="C30" s="27"/>
      <c r="D30" s="27"/>
      <c r="E30" s="15"/>
      <c r="F30" s="15"/>
    </row>
    <row r="31" spans="1:6" s="13" customFormat="1" ht="63.75">
      <c r="A31" s="16">
        <v>16</v>
      </c>
      <c r="B31" s="32" t="s">
        <v>60</v>
      </c>
      <c r="C31" s="27"/>
      <c r="D31" s="27"/>
      <c r="E31" s="15"/>
      <c r="F31" s="15"/>
    </row>
    <row r="32" spans="1:6" s="13" customFormat="1" ht="12.75">
      <c r="A32" s="79" t="s">
        <v>61</v>
      </c>
      <c r="B32" s="79"/>
      <c r="C32" s="11">
        <f>SUM(C11:C31)</f>
        <v>0</v>
      </c>
      <c r="D32" s="11">
        <f>SUM(D11:D31)</f>
        <v>0</v>
      </c>
      <c r="E32" s="64"/>
      <c r="F32" s="64"/>
    </row>
  </sheetData>
  <mergeCells count="15">
    <mergeCell ref="A7:F7"/>
    <mergeCell ref="A1:F1"/>
    <mergeCell ref="B2:C2"/>
    <mergeCell ref="B3:C3"/>
    <mergeCell ref="B4:C4"/>
    <mergeCell ref="A6:F6"/>
    <mergeCell ref="B5:C5"/>
    <mergeCell ref="A32:B32"/>
    <mergeCell ref="A8:F8"/>
    <mergeCell ref="A10:F10"/>
    <mergeCell ref="A18:F18"/>
    <mergeCell ref="A21:F21"/>
    <mergeCell ref="A29:F29"/>
    <mergeCell ref="A14:F14"/>
    <mergeCell ref="A27:F27"/>
  </mergeCells>
  <conditionalFormatting sqref="F4">
    <cfRule type="expression" dxfId="21" priority="3">
      <formula>$B$4&gt;89.5</formula>
    </cfRule>
    <cfRule type="expression" dxfId="20" priority="4">
      <formula>$B$4&lt;89.6</formula>
    </cfRule>
  </conditionalFormatting>
  <conditionalFormatting sqref="F5">
    <cfRule type="expression" dxfId="19" priority="1">
      <formula>$B$5&gt;89.5</formula>
    </cfRule>
    <cfRule type="expression" dxfId="18" priority="2">
      <formula>$B$5&lt;89.6</formula>
    </cfRule>
  </conditionalFormatting>
  <dataValidations disablePrompts="1" count="2">
    <dataValidation type="list" allowBlank="1" showInputMessage="1" showErrorMessage="1" sqref="C19:D20 C30:D31 C25:D26 C15:D17 C28:D28 C22:D22 C11:D13" xr:uid="{00000000-0002-0000-0300-000000000000}">
      <formula1>"0,1,2,3,NA"</formula1>
    </dataValidation>
    <dataValidation type="list" allowBlank="1" showInputMessage="1" showErrorMessage="1" sqref="C23:D24" xr:uid="{00000000-0002-0000-0300-000001000000}">
      <formula1>"0, 3, NA"</formula1>
    </dataValidation>
  </dataValidations>
  <pageMargins left="0.5092592592592593" right="0.4861111111111111" top="0.625" bottom="0.75" header="0.3" footer="0.3"/>
  <pageSetup orientation="landscape" r:id="rId1"/>
  <headerFooter>
    <oddFooter>&amp;LTemplate Version 1.7 / 5 May 2020&amp;CCitiusTech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showGridLines="0" view="pageLayout" zoomScale="90" zoomScaleNormal="100" zoomScalePageLayoutView="90" workbookViewId="0">
      <selection sqref="A1:E1"/>
    </sheetView>
  </sheetViews>
  <sheetFormatPr defaultRowHeight="15"/>
  <cols>
    <col min="1" max="1" width="9.7109375" customWidth="1"/>
    <col min="2" max="2" width="62.85546875" customWidth="1"/>
    <col min="3" max="3" width="9.140625" customWidth="1"/>
    <col min="4" max="4" width="22" customWidth="1"/>
    <col min="5" max="5" width="25.28515625" customWidth="1"/>
  </cols>
  <sheetData>
    <row r="1" spans="1:7" s="8" customFormat="1" ht="15.75">
      <c r="A1" s="80" t="s">
        <v>62</v>
      </c>
      <c r="B1" s="80"/>
      <c r="C1" s="80"/>
      <c r="D1" s="80"/>
      <c r="E1" s="80"/>
    </row>
    <row r="2" spans="1:7" s="8" customFormat="1" ht="25.5">
      <c r="A2" s="9" t="s">
        <v>22</v>
      </c>
      <c r="B2" s="87"/>
      <c r="C2" s="87"/>
      <c r="D2" s="12" t="s">
        <v>23</v>
      </c>
      <c r="E2" s="12"/>
    </row>
    <row r="3" spans="1:7" s="8" customFormat="1" ht="25.5">
      <c r="A3" s="9" t="s">
        <v>24</v>
      </c>
      <c r="B3" s="87"/>
      <c r="C3" s="87"/>
      <c r="D3" s="12" t="s">
        <v>25</v>
      </c>
      <c r="E3" s="12"/>
    </row>
    <row r="4" spans="1:7" s="8" customFormat="1" ht="38.25">
      <c r="A4" s="9" t="s">
        <v>63</v>
      </c>
      <c r="B4" s="86" t="str">
        <f>IFERROR((C23/(COUNTIF(C9:C22,"&gt;=0")*3)*100),"")</f>
        <v/>
      </c>
      <c r="C4" s="86"/>
      <c r="D4" s="12" t="s">
        <v>64</v>
      </c>
      <c r="E4" s="12"/>
    </row>
    <row r="5" spans="1:7">
      <c r="A5" s="88" t="s">
        <v>30</v>
      </c>
      <c r="B5" s="89"/>
      <c r="C5" s="89"/>
      <c r="D5" s="89"/>
      <c r="E5" s="89"/>
    </row>
    <row r="6" spans="1:7" s="13" customFormat="1" ht="102.75" customHeight="1">
      <c r="A6" s="94" t="s">
        <v>65</v>
      </c>
      <c r="B6" s="95"/>
      <c r="C6" s="95"/>
      <c r="D6" s="95"/>
      <c r="E6" s="95"/>
      <c r="F6" s="8"/>
      <c r="G6" s="8"/>
    </row>
    <row r="7" spans="1:7">
      <c r="A7" s="88" t="s">
        <v>66</v>
      </c>
      <c r="B7" s="89"/>
      <c r="C7" s="89"/>
      <c r="D7" s="89"/>
      <c r="E7" s="89"/>
      <c r="F7" s="8"/>
      <c r="G7" s="8"/>
    </row>
    <row r="8" spans="1:7" s="13" customFormat="1" ht="12.75">
      <c r="A8" s="10" t="s">
        <v>33</v>
      </c>
      <c r="B8" s="10" t="s">
        <v>34</v>
      </c>
      <c r="C8" s="10" t="s">
        <v>67</v>
      </c>
      <c r="D8" s="10" t="s">
        <v>37</v>
      </c>
      <c r="E8" s="10" t="s">
        <v>38</v>
      </c>
      <c r="F8" s="8"/>
      <c r="G8" s="8"/>
    </row>
    <row r="9" spans="1:7" s="5" customFormat="1">
      <c r="A9" s="90" t="s">
        <v>68</v>
      </c>
      <c r="B9" s="91"/>
      <c r="C9" s="91"/>
      <c r="D9" s="91"/>
      <c r="E9" s="91"/>
    </row>
    <row r="10" spans="1:7" s="5" customFormat="1" ht="89.25">
      <c r="A10" s="28">
        <v>1</v>
      </c>
      <c r="B10" s="39" t="s">
        <v>42</v>
      </c>
      <c r="C10" s="27"/>
      <c r="D10" s="38"/>
      <c r="E10" s="38"/>
    </row>
    <row r="11" spans="1:7" s="5" customFormat="1" ht="76.5">
      <c r="A11" s="28">
        <v>2</v>
      </c>
      <c r="B11" s="39" t="s">
        <v>69</v>
      </c>
      <c r="C11" s="27"/>
      <c r="D11" s="38"/>
      <c r="E11" s="38"/>
    </row>
    <row r="12" spans="1:7" s="5" customFormat="1" ht="25.5">
      <c r="A12" s="28">
        <v>3</v>
      </c>
      <c r="B12" s="37" t="s">
        <v>70</v>
      </c>
      <c r="C12" s="27"/>
      <c r="D12" s="38"/>
      <c r="E12" s="38"/>
    </row>
    <row r="13" spans="1:7" s="5" customFormat="1" ht="25.5">
      <c r="A13" s="28">
        <v>4</v>
      </c>
      <c r="B13" s="39" t="s">
        <v>71</v>
      </c>
      <c r="C13" s="27"/>
      <c r="D13" s="38"/>
      <c r="E13" s="38"/>
    </row>
    <row r="14" spans="1:7" s="13" customFormat="1" ht="25.5">
      <c r="A14" s="28">
        <v>5</v>
      </c>
      <c r="B14" s="37" t="s">
        <v>72</v>
      </c>
      <c r="C14" s="27"/>
      <c r="D14" s="38"/>
      <c r="E14" s="38"/>
      <c r="F14" s="8"/>
      <c r="G14" s="8"/>
    </row>
    <row r="15" spans="1:7" s="13" customFormat="1" ht="25.5">
      <c r="A15" s="28">
        <v>6</v>
      </c>
      <c r="B15" s="39" t="s">
        <v>73</v>
      </c>
      <c r="C15" s="27"/>
      <c r="D15" s="38"/>
      <c r="E15" s="38"/>
      <c r="F15" s="8"/>
      <c r="G15" s="8"/>
    </row>
    <row r="16" spans="1:7" s="5" customFormat="1">
      <c r="A16" s="90" t="s">
        <v>74</v>
      </c>
      <c r="B16" s="91"/>
      <c r="C16" s="91"/>
      <c r="D16" s="91"/>
      <c r="E16" s="91"/>
    </row>
    <row r="17" spans="1:5" s="5" customFormat="1" ht="25.5">
      <c r="A17" s="28">
        <v>7</v>
      </c>
      <c r="B17" s="39" t="s">
        <v>75</v>
      </c>
      <c r="C17" s="27"/>
      <c r="D17" s="38"/>
      <c r="E17" s="38"/>
    </row>
    <row r="18" spans="1:5" s="5" customFormat="1" ht="25.5">
      <c r="A18" s="28">
        <v>8</v>
      </c>
      <c r="B18" s="41" t="s">
        <v>76</v>
      </c>
      <c r="C18" s="27"/>
      <c r="D18" s="38"/>
      <c r="E18" s="38"/>
    </row>
    <row r="19" spans="1:5" s="5" customFormat="1">
      <c r="A19" s="28">
        <v>9</v>
      </c>
      <c r="B19" s="40" t="s">
        <v>77</v>
      </c>
      <c r="C19" s="27"/>
      <c r="D19" s="38"/>
      <c r="E19" s="38"/>
    </row>
    <row r="20" spans="1:5" s="5" customFormat="1">
      <c r="A20" s="28">
        <v>10</v>
      </c>
      <c r="B20" s="40" t="s">
        <v>78</v>
      </c>
      <c r="C20" s="27"/>
      <c r="D20" s="38"/>
      <c r="E20" s="38"/>
    </row>
    <row r="21" spans="1:5" s="5" customFormat="1" ht="25.5">
      <c r="A21" s="28">
        <v>11</v>
      </c>
      <c r="B21" s="41" t="s">
        <v>79</v>
      </c>
      <c r="C21" s="27"/>
      <c r="D21" s="38"/>
      <c r="E21" s="38"/>
    </row>
    <row r="22" spans="1:5" s="5" customFormat="1">
      <c r="A22" s="28">
        <v>12</v>
      </c>
      <c r="B22" s="41" t="s">
        <v>80</v>
      </c>
      <c r="C22" s="27"/>
      <c r="D22" s="38"/>
      <c r="E22" s="38"/>
    </row>
    <row r="23" spans="1:5" s="5" customFormat="1">
      <c r="A23" s="92" t="s">
        <v>81</v>
      </c>
      <c r="B23" s="93"/>
      <c r="C23" s="11">
        <f>SUM(C10:C22)</f>
        <v>0</v>
      </c>
      <c r="D23" s="64"/>
      <c r="E23" s="64"/>
    </row>
  </sheetData>
  <mergeCells count="10">
    <mergeCell ref="A7:E7"/>
    <mergeCell ref="A9:E9"/>
    <mergeCell ref="A16:E16"/>
    <mergeCell ref="A23:B23"/>
    <mergeCell ref="A6:E6"/>
    <mergeCell ref="A1:E1"/>
    <mergeCell ref="B2:C2"/>
    <mergeCell ref="B3:C3"/>
    <mergeCell ref="B4:C4"/>
    <mergeCell ref="A5:E5"/>
  </mergeCells>
  <conditionalFormatting sqref="E4">
    <cfRule type="expression" dxfId="17" priority="1">
      <formula>$B$4&gt;89</formula>
    </cfRule>
    <cfRule type="expression" dxfId="16" priority="2">
      <formula>$B$4&lt;90</formula>
    </cfRule>
  </conditionalFormatting>
  <dataValidations disablePrompts="1" count="1">
    <dataValidation type="list" allowBlank="1" showInputMessage="1" showErrorMessage="1" sqref="C17:C22 C10:C15" xr:uid="{00000000-0002-0000-0400-000000000000}">
      <formula1>"0,1,2,3,NA"</formula1>
    </dataValidation>
  </dataValidations>
  <pageMargins left="0.7" right="0.7" top="0.75" bottom="0.75" header="0.3" footer="0.3"/>
  <pageSetup paperSize="9" orientation="landscape" r:id="rId1"/>
  <headerFooter>
    <oddFooter>&amp;LTemplate Version 1.7 / 5 May 2020&amp;CCitiusTech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showGridLines="0" view="pageLayout" zoomScale="90" zoomScaleNormal="90" zoomScalePageLayoutView="90" workbookViewId="0">
      <selection sqref="A1:E1"/>
    </sheetView>
  </sheetViews>
  <sheetFormatPr defaultRowHeight="15"/>
  <cols>
    <col min="1" max="1" width="22.28515625" customWidth="1"/>
    <col min="2" max="2" width="47.5703125" customWidth="1"/>
    <col min="3" max="3" width="8.5703125" style="52" customWidth="1"/>
    <col min="4" max="4" width="23.7109375" customWidth="1"/>
    <col min="5" max="5" width="27" customWidth="1"/>
  </cols>
  <sheetData>
    <row r="1" spans="1:12" s="8" customFormat="1" ht="15.75">
      <c r="A1" s="80" t="s">
        <v>82</v>
      </c>
      <c r="B1" s="80"/>
      <c r="C1" s="80"/>
      <c r="D1" s="80"/>
      <c r="E1" s="80"/>
    </row>
    <row r="2" spans="1:12" s="8" customFormat="1" ht="15" customHeight="1">
      <c r="A2" s="9" t="s">
        <v>22</v>
      </c>
      <c r="B2" s="87"/>
      <c r="C2" s="87"/>
      <c r="D2" s="12" t="s">
        <v>83</v>
      </c>
      <c r="E2" s="46"/>
    </row>
    <row r="3" spans="1:12" s="8" customFormat="1" ht="15" customHeight="1">
      <c r="A3" s="9" t="s">
        <v>84</v>
      </c>
      <c r="B3" s="87"/>
      <c r="C3" s="87"/>
      <c r="D3" s="12" t="s">
        <v>85</v>
      </c>
      <c r="E3" s="12"/>
    </row>
    <row r="4" spans="1:12" s="8" customFormat="1" ht="15" customHeight="1">
      <c r="A4" s="9" t="s">
        <v>63</v>
      </c>
      <c r="B4" s="86" t="str">
        <f>IFERROR((C50/(COUNTIF(C10:C49,"&gt;=0")*3)*100),"")</f>
        <v/>
      </c>
      <c r="C4" s="86"/>
      <c r="D4" s="12" t="s">
        <v>64</v>
      </c>
      <c r="E4" s="12"/>
    </row>
    <row r="5" spans="1:12" ht="15.75">
      <c r="A5" s="80" t="s">
        <v>86</v>
      </c>
      <c r="B5" s="80"/>
      <c r="C5" s="80"/>
      <c r="D5" s="80"/>
      <c r="E5" s="80"/>
      <c r="F5" s="8"/>
      <c r="G5" s="8"/>
      <c r="H5" s="8"/>
      <c r="I5" s="8"/>
    </row>
    <row r="6" spans="1:12" s="13" customFormat="1" ht="191.25" customHeight="1">
      <c r="A6" s="96" t="s">
        <v>87</v>
      </c>
      <c r="B6" s="96"/>
      <c r="C6" s="96"/>
      <c r="D6" s="96"/>
      <c r="E6" s="96"/>
      <c r="F6" s="8"/>
      <c r="G6" s="8"/>
      <c r="H6" s="8"/>
      <c r="I6" s="8"/>
      <c r="J6" s="8"/>
      <c r="K6" s="8"/>
      <c r="L6"/>
    </row>
    <row r="7" spans="1:12" ht="15.75" customHeight="1">
      <c r="A7" s="80" t="s">
        <v>88</v>
      </c>
      <c r="B7" s="80"/>
      <c r="C7" s="80"/>
      <c r="D7" s="80"/>
      <c r="E7" s="80"/>
      <c r="F7" s="8"/>
      <c r="G7" s="8"/>
      <c r="H7" s="8"/>
      <c r="I7" s="8"/>
      <c r="J7" s="8"/>
      <c r="K7" s="8"/>
      <c r="L7" s="8"/>
    </row>
    <row r="8" spans="1:12">
      <c r="A8" s="10" t="s">
        <v>33</v>
      </c>
      <c r="B8" s="10" t="s">
        <v>89</v>
      </c>
      <c r="C8" s="10" t="s">
        <v>67</v>
      </c>
      <c r="D8" s="10" t="s">
        <v>90</v>
      </c>
      <c r="E8" s="10" t="s">
        <v>38</v>
      </c>
      <c r="F8" s="8"/>
      <c r="G8" s="8"/>
      <c r="H8" s="8"/>
      <c r="I8" s="8"/>
      <c r="J8" s="8"/>
      <c r="K8" s="8"/>
      <c r="L8" s="8"/>
    </row>
    <row r="9" spans="1:12">
      <c r="A9" s="81" t="s">
        <v>91</v>
      </c>
      <c r="B9" s="81"/>
      <c r="C9" s="81"/>
      <c r="D9" s="81"/>
      <c r="E9" s="81"/>
      <c r="F9" s="8"/>
      <c r="G9" s="8"/>
      <c r="H9" s="8"/>
      <c r="I9" s="8"/>
      <c r="J9" s="8"/>
      <c r="K9" s="8"/>
      <c r="L9" s="8"/>
    </row>
    <row r="10" spans="1:12" ht="38.25">
      <c r="A10" s="28">
        <v>1</v>
      </c>
      <c r="B10" s="14" t="s">
        <v>92</v>
      </c>
      <c r="C10" s="27"/>
      <c r="D10" s="47"/>
      <c r="E10" s="29"/>
      <c r="F10" s="8"/>
      <c r="G10" s="8"/>
      <c r="H10" s="8"/>
      <c r="I10" s="8"/>
      <c r="J10" s="8"/>
      <c r="K10" s="8"/>
      <c r="L10" s="8"/>
    </row>
    <row r="11" spans="1:12" ht="25.5">
      <c r="A11" s="28">
        <v>2</v>
      </c>
      <c r="B11" s="14" t="s">
        <v>93</v>
      </c>
      <c r="C11" s="27"/>
      <c r="D11" s="47"/>
      <c r="E11" s="29"/>
    </row>
    <row r="12" spans="1:12">
      <c r="A12" s="28">
        <v>3</v>
      </c>
      <c r="B12" s="14" t="s">
        <v>94</v>
      </c>
      <c r="C12" s="27"/>
      <c r="D12" s="27"/>
      <c r="E12" s="27"/>
    </row>
    <row r="13" spans="1:12" ht="38.25">
      <c r="A13" s="28">
        <v>4</v>
      </c>
      <c r="B13" s="14" t="s">
        <v>95</v>
      </c>
      <c r="C13" s="27"/>
      <c r="D13" s="27"/>
      <c r="E13" s="27"/>
    </row>
    <row r="14" spans="1:12">
      <c r="A14" s="28">
        <v>5</v>
      </c>
      <c r="B14" s="14" t="s">
        <v>96</v>
      </c>
      <c r="C14" s="27"/>
      <c r="D14" s="27"/>
      <c r="E14" s="27"/>
    </row>
    <row r="15" spans="1:12">
      <c r="A15" s="81" t="s">
        <v>97</v>
      </c>
      <c r="B15" s="81"/>
      <c r="C15" s="81"/>
      <c r="D15" s="81"/>
      <c r="E15" s="81"/>
    </row>
    <row r="16" spans="1:12">
      <c r="A16" s="28">
        <v>6</v>
      </c>
      <c r="B16" s="14" t="s">
        <v>98</v>
      </c>
      <c r="C16" s="27"/>
      <c r="D16" s="47"/>
      <c r="E16" s="29"/>
    </row>
    <row r="17" spans="1:12">
      <c r="A17" s="28">
        <v>7</v>
      </c>
      <c r="B17" s="14" t="s">
        <v>99</v>
      </c>
      <c r="C17" s="27"/>
      <c r="D17" s="47"/>
      <c r="E17" s="29"/>
    </row>
    <row r="18" spans="1:12" ht="25.5">
      <c r="A18" s="28">
        <v>8</v>
      </c>
      <c r="B18" s="14" t="s">
        <v>100</v>
      </c>
      <c r="C18" s="27"/>
      <c r="D18" s="47"/>
      <c r="E18" s="29"/>
    </row>
    <row r="19" spans="1:12">
      <c r="A19" s="28">
        <v>9</v>
      </c>
      <c r="B19" s="14" t="s">
        <v>101</v>
      </c>
      <c r="C19" s="27"/>
      <c r="D19" s="47"/>
      <c r="E19" s="29"/>
    </row>
    <row r="20" spans="1:12">
      <c r="A20" s="28">
        <v>10</v>
      </c>
      <c r="B20" s="14" t="s">
        <v>102</v>
      </c>
      <c r="C20" s="27"/>
      <c r="D20" s="47"/>
      <c r="E20" s="29"/>
    </row>
    <row r="21" spans="1:12">
      <c r="A21" s="81" t="s">
        <v>103</v>
      </c>
      <c r="B21" s="81"/>
      <c r="C21" s="81"/>
      <c r="D21" s="81"/>
      <c r="E21" s="81"/>
    </row>
    <row r="22" spans="1:12">
      <c r="A22" s="28">
        <v>11</v>
      </c>
      <c r="B22" s="14" t="s">
        <v>104</v>
      </c>
      <c r="C22" s="27"/>
      <c r="D22" s="47"/>
      <c r="E22" s="29"/>
    </row>
    <row r="23" spans="1:12">
      <c r="A23" s="28">
        <v>12</v>
      </c>
      <c r="B23" s="14" t="s">
        <v>105</v>
      </c>
      <c r="C23" s="27"/>
      <c r="D23" s="47"/>
      <c r="E23" s="29"/>
    </row>
    <row r="24" spans="1:12">
      <c r="A24" s="81" t="s">
        <v>106</v>
      </c>
      <c r="B24" s="81"/>
      <c r="C24" s="81"/>
      <c r="D24" s="81"/>
      <c r="E24" s="81"/>
      <c r="F24" s="8"/>
      <c r="G24" s="8"/>
      <c r="H24" s="8"/>
      <c r="I24" s="8"/>
      <c r="J24" s="8"/>
      <c r="K24" s="8"/>
      <c r="L24" s="8"/>
    </row>
    <row r="25" spans="1:12">
      <c r="A25" s="28">
        <v>13</v>
      </c>
      <c r="B25" s="14" t="s">
        <v>107</v>
      </c>
      <c r="C25" s="27"/>
      <c r="D25" s="47"/>
      <c r="E25" s="29"/>
    </row>
    <row r="26" spans="1:12" ht="25.5">
      <c r="A26" s="28">
        <v>14</v>
      </c>
      <c r="B26" s="14" t="s">
        <v>108</v>
      </c>
      <c r="C26" s="27"/>
      <c r="D26" s="47"/>
      <c r="E26" s="29"/>
    </row>
    <row r="27" spans="1:12">
      <c r="A27" s="81" t="s">
        <v>109</v>
      </c>
      <c r="B27" s="81"/>
      <c r="C27" s="81"/>
      <c r="D27" s="81"/>
      <c r="E27" s="81"/>
      <c r="F27" s="8"/>
      <c r="G27" s="8"/>
      <c r="H27" s="8"/>
      <c r="I27" s="8"/>
      <c r="J27" s="8"/>
      <c r="K27" s="8"/>
      <c r="L27" s="8"/>
    </row>
    <row r="28" spans="1:12" ht="51">
      <c r="A28" s="28">
        <v>15</v>
      </c>
      <c r="B28" s="14" t="s">
        <v>110</v>
      </c>
      <c r="C28" s="27"/>
      <c r="D28" s="47"/>
      <c r="E28" s="29"/>
    </row>
    <row r="29" spans="1:12" ht="114.75">
      <c r="A29" s="28">
        <v>16</v>
      </c>
      <c r="B29" s="14" t="s">
        <v>111</v>
      </c>
      <c r="C29" s="27"/>
      <c r="D29" s="47"/>
      <c r="E29" s="29"/>
    </row>
    <row r="30" spans="1:12">
      <c r="A30" s="81" t="s">
        <v>112</v>
      </c>
      <c r="B30" s="81"/>
      <c r="C30" s="81"/>
      <c r="D30" s="81"/>
      <c r="E30" s="81"/>
      <c r="F30" s="8"/>
      <c r="G30" s="8"/>
      <c r="H30" s="8"/>
      <c r="I30" s="8"/>
      <c r="J30" s="8"/>
      <c r="K30" s="8"/>
      <c r="L30" s="8"/>
    </row>
    <row r="31" spans="1:12" ht="127.5">
      <c r="A31" s="28">
        <v>17</v>
      </c>
      <c r="B31" s="14" t="s">
        <v>113</v>
      </c>
      <c r="C31" s="27"/>
      <c r="D31" s="47"/>
      <c r="E31" s="29"/>
    </row>
    <row r="32" spans="1:12" ht="163.5" customHeight="1">
      <c r="A32" s="28">
        <v>18</v>
      </c>
      <c r="B32" s="14" t="s">
        <v>114</v>
      </c>
      <c r="C32" s="27"/>
      <c r="D32" s="47"/>
      <c r="E32" s="29"/>
    </row>
    <row r="33" spans="1:12" ht="51">
      <c r="A33" s="28">
        <v>19</v>
      </c>
      <c r="B33" s="14" t="s">
        <v>115</v>
      </c>
      <c r="C33" s="27"/>
      <c r="D33" s="47"/>
      <c r="E33" s="29"/>
    </row>
    <row r="34" spans="1:12" ht="188.25" customHeight="1">
      <c r="A34" s="28">
        <v>20</v>
      </c>
      <c r="B34" s="14" t="s">
        <v>116</v>
      </c>
      <c r="C34" s="27"/>
      <c r="D34" s="47"/>
      <c r="E34" s="29"/>
    </row>
    <row r="35" spans="1:12" ht="189.75" customHeight="1">
      <c r="A35" s="28">
        <v>21</v>
      </c>
      <c r="B35" s="14" t="s">
        <v>117</v>
      </c>
      <c r="C35" s="27"/>
      <c r="D35" s="47"/>
      <c r="E35" s="29"/>
    </row>
    <row r="36" spans="1:12" ht="38.25">
      <c r="A36" s="28">
        <v>22</v>
      </c>
      <c r="B36" s="14" t="s">
        <v>118</v>
      </c>
      <c r="C36" s="27"/>
      <c r="D36" s="47"/>
      <c r="E36" s="29"/>
    </row>
    <row r="37" spans="1:12" ht="27.75" customHeight="1">
      <c r="A37" s="28">
        <v>23</v>
      </c>
      <c r="B37" s="14" t="s">
        <v>119</v>
      </c>
      <c r="C37" s="27"/>
      <c r="D37" s="47"/>
      <c r="E37" s="29"/>
    </row>
    <row r="38" spans="1:12" ht="25.5">
      <c r="A38" s="28">
        <v>24</v>
      </c>
      <c r="B38" s="14" t="s">
        <v>120</v>
      </c>
      <c r="C38" s="27"/>
      <c r="D38" s="47"/>
      <c r="E38" s="29"/>
    </row>
    <row r="39" spans="1:12">
      <c r="A39" s="81" t="s">
        <v>121</v>
      </c>
      <c r="B39" s="81"/>
      <c r="C39" s="81"/>
      <c r="D39" s="81"/>
      <c r="E39" s="81"/>
      <c r="F39" s="8"/>
      <c r="G39" s="8"/>
      <c r="H39" s="8"/>
      <c r="I39" s="8"/>
      <c r="J39" s="8"/>
      <c r="K39" s="8"/>
      <c r="L39" s="8"/>
    </row>
    <row r="40" spans="1:12" ht="51">
      <c r="A40" s="28">
        <v>25</v>
      </c>
      <c r="B40" s="14" t="s">
        <v>122</v>
      </c>
      <c r="C40" s="27"/>
      <c r="D40" s="47"/>
      <c r="E40" s="29"/>
    </row>
    <row r="41" spans="1:12" ht="51">
      <c r="A41" s="28">
        <v>26</v>
      </c>
      <c r="B41" s="14" t="s">
        <v>123</v>
      </c>
      <c r="C41" s="27"/>
      <c r="D41" s="47"/>
      <c r="E41" s="29"/>
    </row>
    <row r="42" spans="1:12">
      <c r="A42" s="81" t="s">
        <v>124</v>
      </c>
      <c r="B42" s="81"/>
      <c r="C42" s="81"/>
      <c r="D42" s="81"/>
      <c r="E42" s="81"/>
      <c r="F42" s="8"/>
      <c r="G42" s="8"/>
      <c r="H42" s="8"/>
      <c r="I42" s="8"/>
      <c r="J42" s="8"/>
      <c r="K42" s="8"/>
      <c r="L42" s="8"/>
    </row>
    <row r="43" spans="1:12">
      <c r="A43" s="28">
        <v>27</v>
      </c>
      <c r="B43" s="14" t="s">
        <v>125</v>
      </c>
      <c r="C43" s="27"/>
      <c r="D43" s="47"/>
      <c r="E43" s="29"/>
    </row>
    <row r="44" spans="1:12">
      <c r="A44" s="81" t="s">
        <v>126</v>
      </c>
      <c r="B44" s="81"/>
      <c r="C44" s="81"/>
      <c r="D44" s="81"/>
      <c r="E44" s="81"/>
      <c r="F44" s="8"/>
      <c r="G44" s="8"/>
      <c r="H44" s="8"/>
      <c r="I44" s="8"/>
      <c r="J44" s="8"/>
      <c r="K44" s="8"/>
      <c r="L44" s="8"/>
    </row>
    <row r="45" spans="1:12">
      <c r="A45" s="27">
        <v>28</v>
      </c>
      <c r="B45" s="14" t="s">
        <v>127</v>
      </c>
      <c r="C45" s="27"/>
      <c r="D45" s="47"/>
      <c r="E45" s="29"/>
    </row>
    <row r="46" spans="1:12" ht="25.5">
      <c r="A46" s="27">
        <v>29</v>
      </c>
      <c r="B46" s="14" t="s">
        <v>128</v>
      </c>
      <c r="C46" s="27"/>
      <c r="D46" s="47"/>
      <c r="E46" s="29"/>
    </row>
    <row r="47" spans="1:12" ht="42.75" customHeight="1">
      <c r="A47" s="27">
        <v>30</v>
      </c>
      <c r="B47" s="14" t="s">
        <v>129</v>
      </c>
      <c r="C47" s="27"/>
      <c r="D47" s="47"/>
      <c r="E47" s="29"/>
    </row>
    <row r="48" spans="1:12">
      <c r="A48" s="27">
        <v>31</v>
      </c>
      <c r="B48" s="14" t="s">
        <v>130</v>
      </c>
      <c r="C48" s="27"/>
      <c r="D48" s="47"/>
      <c r="E48" s="29"/>
    </row>
    <row r="49" spans="1:6" ht="25.5">
      <c r="A49" s="27">
        <v>32</v>
      </c>
      <c r="B49" s="14" t="s">
        <v>131</v>
      </c>
      <c r="C49" s="27"/>
      <c r="D49" s="47"/>
      <c r="E49" s="29"/>
    </row>
    <row r="50" spans="1:6" s="51" customFormat="1" ht="15.6" customHeight="1">
      <c r="A50" s="97" t="s">
        <v>132</v>
      </c>
      <c r="B50" s="98"/>
      <c r="C50" s="48">
        <f>SUM(C10:C49)</f>
        <v>0</v>
      </c>
      <c r="D50" s="49"/>
      <c r="E50" s="50"/>
      <c r="F50"/>
    </row>
  </sheetData>
  <mergeCells count="17">
    <mergeCell ref="A30:E30"/>
    <mergeCell ref="A39:E39"/>
    <mergeCell ref="A42:E42"/>
    <mergeCell ref="A44:E44"/>
    <mergeCell ref="A50:B50"/>
    <mergeCell ref="A27:E27"/>
    <mergeCell ref="A1:E1"/>
    <mergeCell ref="B2:C2"/>
    <mergeCell ref="B3:C3"/>
    <mergeCell ref="B4:C4"/>
    <mergeCell ref="A5:E5"/>
    <mergeCell ref="A6:E6"/>
    <mergeCell ref="A7:E7"/>
    <mergeCell ref="A9:E9"/>
    <mergeCell ref="A15:E15"/>
    <mergeCell ref="A21:E21"/>
    <mergeCell ref="A24:E24"/>
  </mergeCells>
  <conditionalFormatting sqref="E4">
    <cfRule type="expression" dxfId="15" priority="1">
      <formula>$B$4&lt;80</formula>
    </cfRule>
    <cfRule type="expression" dxfId="14" priority="2">
      <formula>$B$4&lt;90</formula>
    </cfRule>
    <cfRule type="expression" dxfId="13" priority="3">
      <formula>$B$4&gt;=90</formula>
    </cfRule>
  </conditionalFormatting>
  <dataValidations disablePrompts="1" count="1">
    <dataValidation type="list" allowBlank="1" showInputMessage="1" showErrorMessage="1" sqref="C45:C49 C16:C20 C22:C23 C28:C29 C25:C26 C31:C38 C40:C41 C43 C10:C14" xr:uid="{00000000-0002-0000-0500-000000000000}">
      <formula1>"0,1,2,3,NA"</formula1>
    </dataValidation>
  </dataValidations>
  <pageMargins left="0.7" right="0.7" top="0.75" bottom="0.75" header="0.3" footer="0.3"/>
  <pageSetup paperSize="9" orientation="landscape" r:id="rId1"/>
  <headerFooter>
    <oddFooter xml:space="preserve">&amp;LTemplate Version 1.7 / 5 May 2020&amp;CCitiusTech Internal </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2"/>
  <sheetViews>
    <sheetView showGridLines="0" view="pageLayout" zoomScale="90" zoomScaleNormal="90" zoomScalePageLayoutView="90" workbookViewId="0">
      <selection sqref="A1:E1"/>
    </sheetView>
  </sheetViews>
  <sheetFormatPr defaultRowHeight="15"/>
  <cols>
    <col min="1" max="1" width="20.140625" customWidth="1"/>
    <col min="2" max="2" width="31.7109375" customWidth="1"/>
    <col min="3" max="3" width="13.28515625" customWidth="1"/>
    <col min="4" max="4" width="28.28515625" customWidth="1"/>
    <col min="5" max="5" width="37.42578125" customWidth="1"/>
  </cols>
  <sheetData>
    <row r="1" spans="1:12" ht="15.75" customHeight="1">
      <c r="A1" s="80" t="s">
        <v>82</v>
      </c>
      <c r="B1" s="80"/>
      <c r="C1" s="80"/>
      <c r="D1" s="80"/>
      <c r="E1" s="80"/>
    </row>
    <row r="2" spans="1:12">
      <c r="A2" s="9" t="s">
        <v>22</v>
      </c>
      <c r="B2" s="87"/>
      <c r="C2" s="87"/>
      <c r="D2" s="12" t="s">
        <v>83</v>
      </c>
      <c r="E2" s="12"/>
    </row>
    <row r="3" spans="1:12">
      <c r="A3" s="9" t="s">
        <v>84</v>
      </c>
      <c r="B3" s="87"/>
      <c r="C3" s="87"/>
      <c r="D3" s="12" t="s">
        <v>85</v>
      </c>
      <c r="E3" s="12"/>
    </row>
    <row r="4" spans="1:12">
      <c r="A4" s="9" t="s">
        <v>63</v>
      </c>
      <c r="B4" s="86" t="str">
        <f>'Ann 4 - SmartArchMU'!B4:C4</f>
        <v/>
      </c>
      <c r="C4" s="86"/>
      <c r="D4" s="12" t="s">
        <v>64</v>
      </c>
      <c r="E4" s="12"/>
    </row>
    <row r="5" spans="1:12" ht="15.75" customHeight="1">
      <c r="A5" s="80" t="s">
        <v>86</v>
      </c>
      <c r="B5" s="80"/>
      <c r="C5" s="80"/>
      <c r="D5" s="80"/>
      <c r="E5" s="80"/>
      <c r="F5" s="8"/>
      <c r="G5" s="8"/>
      <c r="H5" s="8"/>
      <c r="I5" s="8"/>
      <c r="J5" s="8"/>
      <c r="K5" s="8"/>
      <c r="L5" s="8"/>
    </row>
    <row r="6" spans="1:12" ht="179.25" customHeight="1">
      <c r="A6" s="103" t="s">
        <v>133</v>
      </c>
      <c r="B6" s="104"/>
      <c r="C6" s="104"/>
      <c r="D6" s="104"/>
      <c r="E6" s="105"/>
      <c r="F6" s="8"/>
      <c r="G6" s="8"/>
      <c r="H6" s="8"/>
      <c r="I6" s="8"/>
      <c r="J6" s="8"/>
      <c r="K6" s="8"/>
      <c r="L6" s="8"/>
    </row>
    <row r="7" spans="1:12" ht="15.75" customHeight="1">
      <c r="A7" s="80" t="s">
        <v>134</v>
      </c>
      <c r="B7" s="80"/>
      <c r="C7" s="80"/>
      <c r="D7" s="80"/>
      <c r="E7" s="80"/>
      <c r="F7" s="8"/>
      <c r="G7" s="8"/>
      <c r="H7" s="8"/>
      <c r="I7" s="8"/>
      <c r="J7" s="8"/>
      <c r="K7" s="8"/>
      <c r="L7" s="8"/>
    </row>
    <row r="8" spans="1:12" ht="42" customHeight="1">
      <c r="A8" s="53" t="s">
        <v>135</v>
      </c>
      <c r="B8" s="99"/>
      <c r="C8" s="100"/>
      <c r="D8" s="100"/>
      <c r="E8" s="101"/>
    </row>
    <row r="9" spans="1:12" ht="15.75" customHeight="1">
      <c r="A9" s="80" t="s">
        <v>136</v>
      </c>
      <c r="B9" s="80"/>
      <c r="C9" s="80"/>
      <c r="D9" s="80"/>
      <c r="E9" s="80"/>
      <c r="F9" s="8"/>
      <c r="G9" s="8"/>
      <c r="H9" s="8"/>
      <c r="I9" s="8"/>
      <c r="J9" s="8"/>
      <c r="K9" s="8"/>
      <c r="L9" s="8"/>
    </row>
    <row r="10" spans="1:12">
      <c r="A10" s="54" t="s">
        <v>137</v>
      </c>
      <c r="B10" s="54" t="s">
        <v>138</v>
      </c>
      <c r="C10" s="54" t="s">
        <v>139</v>
      </c>
      <c r="D10" s="54" t="s">
        <v>140</v>
      </c>
      <c r="E10" s="54" t="s">
        <v>141</v>
      </c>
    </row>
    <row r="11" spans="1:12" ht="31.5" customHeight="1">
      <c r="A11" s="55" t="s">
        <v>142</v>
      </c>
      <c r="B11" s="56"/>
      <c r="C11" s="56"/>
      <c r="D11" s="56"/>
      <c r="E11" s="56"/>
    </row>
    <row r="12" spans="1:12" ht="15" customHeight="1">
      <c r="A12" s="55" t="s">
        <v>143</v>
      </c>
      <c r="B12" s="56"/>
      <c r="C12" s="56"/>
      <c r="D12" s="56"/>
      <c r="E12" s="56"/>
    </row>
    <row r="13" spans="1:12" ht="15" customHeight="1">
      <c r="A13" s="55" t="s">
        <v>144</v>
      </c>
      <c r="B13" s="56"/>
      <c r="C13" s="56"/>
      <c r="D13" s="56"/>
      <c r="E13" s="56"/>
    </row>
    <row r="14" spans="1:12" ht="15" customHeight="1">
      <c r="A14" s="55" t="s">
        <v>145</v>
      </c>
      <c r="B14" s="56"/>
      <c r="C14" s="56"/>
      <c r="D14" s="56"/>
      <c r="E14" s="56"/>
    </row>
    <row r="15" spans="1:12" ht="31.5" customHeight="1">
      <c r="A15" s="55" t="s">
        <v>146</v>
      </c>
      <c r="B15" s="56"/>
      <c r="C15" s="56"/>
      <c r="D15" s="56"/>
      <c r="E15" s="56"/>
    </row>
    <row r="16" spans="1:12" ht="15" customHeight="1">
      <c r="A16" s="55" t="s">
        <v>147</v>
      </c>
      <c r="B16" s="56"/>
      <c r="C16" s="56"/>
      <c r="D16" s="56"/>
      <c r="E16" s="56"/>
    </row>
    <row r="17" spans="1:5" ht="15" customHeight="1">
      <c r="A17" s="55" t="s">
        <v>148</v>
      </c>
      <c r="B17" s="56"/>
      <c r="C17" s="56"/>
      <c r="D17" s="56"/>
      <c r="E17" s="56"/>
    </row>
    <row r="18" spans="1:5" ht="15" customHeight="1">
      <c r="A18" s="55" t="s">
        <v>149</v>
      </c>
      <c r="B18" s="56"/>
      <c r="C18" s="56"/>
      <c r="D18" s="56"/>
      <c r="E18" s="56"/>
    </row>
    <row r="19" spans="1:5" ht="15" customHeight="1">
      <c r="A19" s="55" t="s">
        <v>150</v>
      </c>
      <c r="B19" s="56"/>
      <c r="C19" s="56"/>
      <c r="D19" s="56"/>
      <c r="E19" s="56"/>
    </row>
    <row r="20" spans="1:5" ht="15" customHeight="1">
      <c r="A20" s="57" t="s">
        <v>151</v>
      </c>
      <c r="B20" s="58"/>
      <c r="C20" s="58"/>
      <c r="D20" s="58"/>
      <c r="E20" s="58"/>
    </row>
    <row r="21" spans="1:5" ht="15" customHeight="1">
      <c r="A21" s="102" t="s">
        <v>152</v>
      </c>
      <c r="B21" s="102"/>
      <c r="C21" s="102"/>
      <c r="D21" s="102"/>
      <c r="E21" s="102"/>
    </row>
    <row r="22" spans="1:5">
      <c r="A22" s="10" t="s">
        <v>153</v>
      </c>
      <c r="B22" s="10" t="s">
        <v>154</v>
      </c>
      <c r="C22" s="10" t="s">
        <v>155</v>
      </c>
      <c r="D22" s="10" t="s">
        <v>137</v>
      </c>
      <c r="E22" s="10" t="s">
        <v>156</v>
      </c>
    </row>
    <row r="23" spans="1:5" s="61" customFormat="1" ht="30">
      <c r="A23" s="59">
        <v>1</v>
      </c>
      <c r="B23" s="30" t="s">
        <v>157</v>
      </c>
      <c r="C23" s="59" t="s">
        <v>139</v>
      </c>
      <c r="D23" s="60" t="s">
        <v>142</v>
      </c>
      <c r="E23" s="30" t="s">
        <v>158</v>
      </c>
    </row>
    <row r="24" spans="1:5" s="61" customFormat="1" ht="30">
      <c r="A24" s="59">
        <v>2</v>
      </c>
      <c r="B24" s="30" t="s">
        <v>157</v>
      </c>
      <c r="C24" s="59" t="s">
        <v>138</v>
      </c>
      <c r="D24" s="60" t="s">
        <v>142</v>
      </c>
      <c r="E24" s="30" t="s">
        <v>158</v>
      </c>
    </row>
    <row r="25" spans="1:5" s="61" customFormat="1" ht="30">
      <c r="A25" s="59">
        <v>3</v>
      </c>
      <c r="B25" s="30" t="s">
        <v>157</v>
      </c>
      <c r="C25" s="59" t="s">
        <v>138</v>
      </c>
      <c r="D25" s="60" t="s">
        <v>147</v>
      </c>
      <c r="E25" s="30" t="s">
        <v>158</v>
      </c>
    </row>
    <row r="26" spans="1:5" s="61" customFormat="1" ht="30">
      <c r="A26" s="59">
        <v>4</v>
      </c>
      <c r="B26" s="30" t="s">
        <v>157</v>
      </c>
      <c r="C26" s="59" t="s">
        <v>140</v>
      </c>
      <c r="D26" s="60" t="s">
        <v>150</v>
      </c>
      <c r="E26" s="30" t="s">
        <v>158</v>
      </c>
    </row>
    <row r="27" spans="1:5" s="61" customFormat="1" ht="30">
      <c r="A27" s="59">
        <v>5</v>
      </c>
      <c r="B27" s="30" t="s">
        <v>157</v>
      </c>
      <c r="C27" s="59" t="s">
        <v>141</v>
      </c>
      <c r="D27" s="60" t="s">
        <v>144</v>
      </c>
      <c r="E27" s="30" t="s">
        <v>158</v>
      </c>
    </row>
    <row r="28" spans="1:5" s="61" customFormat="1" ht="30">
      <c r="A28" s="59">
        <v>6</v>
      </c>
      <c r="B28" s="30" t="s">
        <v>157</v>
      </c>
      <c r="C28" s="59" t="s">
        <v>141</v>
      </c>
      <c r="D28" s="60" t="s">
        <v>143</v>
      </c>
      <c r="E28" s="30" t="s">
        <v>158</v>
      </c>
    </row>
    <row r="29" spans="1:5" s="61" customFormat="1" ht="30">
      <c r="A29" s="59">
        <v>7</v>
      </c>
      <c r="B29" s="30" t="s">
        <v>157</v>
      </c>
      <c r="C29" s="59" t="s">
        <v>139</v>
      </c>
      <c r="D29" s="60" t="s">
        <v>146</v>
      </c>
      <c r="E29" s="30" t="s">
        <v>158</v>
      </c>
    </row>
    <row r="30" spans="1:5" s="61" customFormat="1" ht="30">
      <c r="A30" s="59">
        <v>8</v>
      </c>
      <c r="B30" s="30" t="s">
        <v>157</v>
      </c>
      <c r="C30" s="59" t="s">
        <v>140</v>
      </c>
      <c r="D30" s="60" t="s">
        <v>147</v>
      </c>
      <c r="E30" s="30" t="s">
        <v>158</v>
      </c>
    </row>
    <row r="31" spans="1:5" ht="30">
      <c r="A31" s="59">
        <v>9</v>
      </c>
      <c r="B31" s="30" t="s">
        <v>157</v>
      </c>
      <c r="C31" s="59" t="s">
        <v>140</v>
      </c>
      <c r="D31" s="60" t="s">
        <v>142</v>
      </c>
      <c r="E31" s="30" t="s">
        <v>158</v>
      </c>
    </row>
    <row r="32" spans="1:5" ht="30">
      <c r="A32" s="59">
        <v>10</v>
      </c>
      <c r="B32" s="30" t="s">
        <v>157</v>
      </c>
      <c r="C32" s="59" t="s">
        <v>140</v>
      </c>
      <c r="D32" s="60" t="s">
        <v>149</v>
      </c>
      <c r="E32" s="30" t="s">
        <v>158</v>
      </c>
    </row>
    <row r="33" spans="1:5" ht="30">
      <c r="A33" s="59">
        <v>11</v>
      </c>
      <c r="B33" s="30" t="s">
        <v>157</v>
      </c>
      <c r="C33" s="59" t="s">
        <v>140</v>
      </c>
      <c r="D33" s="60" t="s">
        <v>146</v>
      </c>
      <c r="E33" s="30" t="s">
        <v>158</v>
      </c>
    </row>
    <row r="34" spans="1:5" ht="30">
      <c r="A34" s="59">
        <v>12</v>
      </c>
      <c r="B34" s="30" t="s">
        <v>157</v>
      </c>
      <c r="C34" s="59" t="s">
        <v>140</v>
      </c>
      <c r="D34" s="60" t="s">
        <v>146</v>
      </c>
      <c r="E34" s="30" t="s">
        <v>158</v>
      </c>
    </row>
    <row r="35" spans="1:5" ht="30">
      <c r="A35" s="59">
        <v>13</v>
      </c>
      <c r="B35" s="30" t="s">
        <v>157</v>
      </c>
      <c r="C35" s="59" t="s">
        <v>140</v>
      </c>
      <c r="D35" s="60" t="s">
        <v>146</v>
      </c>
      <c r="E35" s="30" t="s">
        <v>158</v>
      </c>
    </row>
    <row r="36" spans="1:5" ht="30">
      <c r="A36" s="59">
        <v>14</v>
      </c>
      <c r="B36" s="30" t="s">
        <v>157</v>
      </c>
      <c r="C36" s="59" t="s">
        <v>140</v>
      </c>
      <c r="D36" s="60" t="s">
        <v>146</v>
      </c>
      <c r="E36" s="30" t="s">
        <v>158</v>
      </c>
    </row>
    <row r="37" spans="1:5" ht="30">
      <c r="A37" s="59">
        <v>15</v>
      </c>
      <c r="B37" s="30" t="s">
        <v>157</v>
      </c>
      <c r="C37" s="59" t="s">
        <v>140</v>
      </c>
      <c r="D37" s="60" t="s">
        <v>146</v>
      </c>
      <c r="E37" s="30" t="s">
        <v>158</v>
      </c>
    </row>
    <row r="38" spans="1:5" ht="30">
      <c r="A38" s="59">
        <v>16</v>
      </c>
      <c r="B38" s="30" t="s">
        <v>157</v>
      </c>
      <c r="C38" s="59" t="s">
        <v>140</v>
      </c>
      <c r="D38" s="60" t="s">
        <v>146</v>
      </c>
      <c r="E38" s="30" t="s">
        <v>158</v>
      </c>
    </row>
    <row r="39" spans="1:5" ht="30">
      <c r="A39" s="59">
        <v>17</v>
      </c>
      <c r="B39" s="30" t="s">
        <v>157</v>
      </c>
      <c r="C39" s="59" t="s">
        <v>140</v>
      </c>
      <c r="D39" s="60" t="s">
        <v>146</v>
      </c>
      <c r="E39" s="30" t="s">
        <v>158</v>
      </c>
    </row>
    <row r="40" spans="1:5" ht="30">
      <c r="A40" s="59">
        <v>18</v>
      </c>
      <c r="B40" s="30" t="s">
        <v>157</v>
      </c>
      <c r="C40" s="59" t="s">
        <v>140</v>
      </c>
      <c r="D40" s="60" t="s">
        <v>146</v>
      </c>
      <c r="E40" s="30" t="s">
        <v>158</v>
      </c>
    </row>
    <row r="41" spans="1:5" ht="30">
      <c r="A41" s="59">
        <v>19</v>
      </c>
      <c r="B41" s="30" t="s">
        <v>157</v>
      </c>
      <c r="C41" s="59" t="s">
        <v>140</v>
      </c>
      <c r="D41" s="60" t="s">
        <v>146</v>
      </c>
      <c r="E41" s="30" t="s">
        <v>158</v>
      </c>
    </row>
    <row r="42" spans="1:5" ht="30">
      <c r="A42" s="59">
        <v>20</v>
      </c>
      <c r="B42" s="30" t="s">
        <v>157</v>
      </c>
      <c r="C42" s="59" t="s">
        <v>140</v>
      </c>
      <c r="D42" s="60" t="s">
        <v>146</v>
      </c>
      <c r="E42" s="30" t="s">
        <v>158</v>
      </c>
    </row>
    <row r="43" spans="1:5" ht="30">
      <c r="A43" s="59">
        <v>21</v>
      </c>
      <c r="B43" s="30" t="s">
        <v>157</v>
      </c>
      <c r="C43" s="59" t="s">
        <v>140</v>
      </c>
      <c r="D43" s="60" t="s">
        <v>146</v>
      </c>
      <c r="E43" s="30" t="s">
        <v>158</v>
      </c>
    </row>
    <row r="44" spans="1:5" ht="30">
      <c r="A44" s="59">
        <v>22</v>
      </c>
      <c r="B44" s="30" t="s">
        <v>157</v>
      </c>
      <c r="C44" s="59" t="s">
        <v>140</v>
      </c>
      <c r="D44" s="60" t="s">
        <v>146</v>
      </c>
      <c r="E44" s="30" t="s">
        <v>158</v>
      </c>
    </row>
    <row r="45" spans="1:5" ht="30">
      <c r="A45" s="59">
        <v>23</v>
      </c>
      <c r="B45" s="30" t="s">
        <v>157</v>
      </c>
      <c r="C45" s="59" t="s">
        <v>140</v>
      </c>
      <c r="D45" s="60" t="s">
        <v>146</v>
      </c>
      <c r="E45" s="30" t="s">
        <v>158</v>
      </c>
    </row>
    <row r="46" spans="1:5" ht="30">
      <c r="A46" s="59">
        <v>24</v>
      </c>
      <c r="B46" s="30" t="s">
        <v>157</v>
      </c>
      <c r="C46" s="59" t="s">
        <v>140</v>
      </c>
      <c r="D46" s="60" t="s">
        <v>146</v>
      </c>
      <c r="E46" s="30" t="s">
        <v>158</v>
      </c>
    </row>
    <row r="47" spans="1:5" ht="30">
      <c r="A47" s="59">
        <v>25</v>
      </c>
      <c r="B47" s="30" t="s">
        <v>157</v>
      </c>
      <c r="C47" s="59" t="s">
        <v>140</v>
      </c>
      <c r="D47" s="60" t="s">
        <v>146</v>
      </c>
      <c r="E47" s="30" t="s">
        <v>158</v>
      </c>
    </row>
    <row r="48" spans="1:5" ht="30">
      <c r="A48" s="59">
        <v>26</v>
      </c>
      <c r="B48" s="30" t="s">
        <v>157</v>
      </c>
      <c r="C48" s="59" t="s">
        <v>140</v>
      </c>
      <c r="D48" s="60" t="s">
        <v>146</v>
      </c>
      <c r="E48" s="30" t="s">
        <v>158</v>
      </c>
    </row>
    <row r="49" spans="1:5" ht="30">
      <c r="A49" s="59">
        <v>27</v>
      </c>
      <c r="B49" s="30" t="s">
        <v>157</v>
      </c>
      <c r="C49" s="59" t="s">
        <v>140</v>
      </c>
      <c r="D49" s="60" t="s">
        <v>146</v>
      </c>
      <c r="E49" s="30" t="s">
        <v>158</v>
      </c>
    </row>
    <row r="50" spans="1:5" ht="30">
      <c r="A50" s="59">
        <v>28</v>
      </c>
      <c r="B50" s="30" t="s">
        <v>157</v>
      </c>
      <c r="C50" s="59" t="s">
        <v>140</v>
      </c>
      <c r="D50" s="60" t="s">
        <v>146</v>
      </c>
      <c r="E50" s="30" t="s">
        <v>158</v>
      </c>
    </row>
    <row r="51" spans="1:5" ht="30">
      <c r="A51" s="59">
        <v>29</v>
      </c>
      <c r="B51" s="30" t="s">
        <v>157</v>
      </c>
      <c r="C51" s="59" t="s">
        <v>140</v>
      </c>
      <c r="D51" s="60" t="s">
        <v>146</v>
      </c>
      <c r="E51" s="30" t="s">
        <v>158</v>
      </c>
    </row>
    <row r="52" spans="1:5" ht="30">
      <c r="A52" s="59">
        <v>30</v>
      </c>
      <c r="B52" s="30" t="s">
        <v>157</v>
      </c>
      <c r="C52" s="59" t="s">
        <v>140</v>
      </c>
      <c r="D52" s="60" t="s">
        <v>146</v>
      </c>
      <c r="E52" s="30" t="s">
        <v>158</v>
      </c>
    </row>
  </sheetData>
  <mergeCells count="10">
    <mergeCell ref="A7:E7"/>
    <mergeCell ref="B8:E8"/>
    <mergeCell ref="A9:E9"/>
    <mergeCell ref="A21:E21"/>
    <mergeCell ref="A1:E1"/>
    <mergeCell ref="B2:C2"/>
    <mergeCell ref="B3:C3"/>
    <mergeCell ref="B4:C4"/>
    <mergeCell ref="A5:E5"/>
    <mergeCell ref="A6:E6"/>
  </mergeCells>
  <conditionalFormatting sqref="E4">
    <cfRule type="expression" dxfId="12" priority="1">
      <formula>$B$4&lt;80</formula>
    </cfRule>
    <cfRule type="expression" dxfId="11" priority="2">
      <formula>$B$4&lt;90</formula>
    </cfRule>
    <cfRule type="expression" dxfId="10" priority="3">
      <formula>$B$4&gt;=90</formula>
    </cfRule>
  </conditionalFormatting>
  <dataValidations disablePrompts="1" count="2">
    <dataValidation type="list" allowBlank="1" showErrorMessage="1" sqref="D23:D52 B53:B516" xr:uid="{00000000-0002-0000-0600-000000000000}">
      <formula1>Category1</formula1>
    </dataValidation>
    <dataValidation type="list" showInputMessage="1" showErrorMessage="1" sqref="E848:E935 C23:C847" xr:uid="{00000000-0002-0000-0600-000001000000}">
      <formula1>"High, Medium, Low, Suggestions"</formula1>
    </dataValidation>
  </dataValidations>
  <pageMargins left="0.7" right="0.7" top="0.75" bottom="0.75" header="0.3" footer="0.3"/>
  <pageSetup paperSize="9" orientation="landscape" r:id="rId1"/>
  <headerFooter>
    <oddFooter>&amp;LTemplate Version 1.7 / 5 May 2020&amp;CCitiusTech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286"/>
  <sheetViews>
    <sheetView showGridLines="0" tabSelected="1" view="pageLayout" zoomScale="90" zoomScaleNormal="100" zoomScalePageLayoutView="90" workbookViewId="0">
      <selection sqref="A1:B1"/>
    </sheetView>
  </sheetViews>
  <sheetFormatPr defaultColWidth="9.140625" defaultRowHeight="15" outlineLevelRow="1"/>
  <cols>
    <col min="1" max="1" width="3.5703125" style="43" customWidth="1"/>
    <col min="2" max="2" width="118.5703125" style="43" customWidth="1"/>
    <col min="3" max="16384" width="9.140625" style="43"/>
  </cols>
  <sheetData>
    <row r="1" spans="1:2" ht="26.25" customHeight="1">
      <c r="A1" s="108" t="s">
        <v>159</v>
      </c>
      <c r="B1" s="108"/>
    </row>
    <row r="2" spans="1:2">
      <c r="A2" s="109" t="s">
        <v>160</v>
      </c>
      <c r="B2" s="109"/>
    </row>
    <row r="3" spans="1:2" outlineLevel="1">
      <c r="A3" s="30">
        <v>1</v>
      </c>
      <c r="B3" s="30" t="s">
        <v>161</v>
      </c>
    </row>
    <row r="4" spans="1:2" outlineLevel="1">
      <c r="A4" s="30">
        <v>2</v>
      </c>
      <c r="B4" s="30" t="s">
        <v>162</v>
      </c>
    </row>
    <row r="5" spans="1:2" ht="30" outlineLevel="1">
      <c r="A5" s="30">
        <v>3</v>
      </c>
      <c r="B5" s="30" t="s">
        <v>163</v>
      </c>
    </row>
    <row r="6" spans="1:2" outlineLevel="1">
      <c r="A6" s="30">
        <v>4</v>
      </c>
      <c r="B6" s="30" t="s">
        <v>164</v>
      </c>
    </row>
    <row r="7" spans="1:2" outlineLevel="1">
      <c r="A7" s="30">
        <v>5</v>
      </c>
      <c r="B7" s="30" t="s">
        <v>165</v>
      </c>
    </row>
    <row r="8" spans="1:2" outlineLevel="1">
      <c r="A8" s="30">
        <v>6</v>
      </c>
      <c r="B8" s="30" t="s">
        <v>166</v>
      </c>
    </row>
    <row r="9" spans="1:2" ht="30" outlineLevel="1">
      <c r="A9" s="30">
        <v>7</v>
      </c>
      <c r="B9" s="30" t="s">
        <v>167</v>
      </c>
    </row>
    <row r="10" spans="1:2" outlineLevel="1">
      <c r="A10" s="30">
        <v>8</v>
      </c>
      <c r="B10" s="30" t="s">
        <v>168</v>
      </c>
    </row>
    <row r="11" spans="1:2" outlineLevel="1">
      <c r="A11" s="30">
        <v>9</v>
      </c>
      <c r="B11" s="30" t="s">
        <v>169</v>
      </c>
    </row>
    <row r="12" spans="1:2" outlineLevel="1">
      <c r="A12" s="30">
        <v>10</v>
      </c>
      <c r="B12" s="30" t="s">
        <v>170</v>
      </c>
    </row>
    <row r="13" spans="1:2" outlineLevel="1">
      <c r="A13" s="30">
        <v>11</v>
      </c>
      <c r="B13" s="30" t="s">
        <v>171</v>
      </c>
    </row>
    <row r="14" spans="1:2" outlineLevel="1">
      <c r="A14" s="30">
        <v>12</v>
      </c>
      <c r="B14" s="30" t="s">
        <v>172</v>
      </c>
    </row>
    <row r="15" spans="1:2" outlineLevel="1">
      <c r="A15" s="30">
        <v>13</v>
      </c>
      <c r="B15" s="30" t="s">
        <v>173</v>
      </c>
    </row>
    <row r="16" spans="1:2" outlineLevel="1">
      <c r="A16" s="30">
        <v>14</v>
      </c>
      <c r="B16" s="30" t="s">
        <v>174</v>
      </c>
    </row>
    <row r="17" spans="1:2" outlineLevel="1">
      <c r="A17" s="30">
        <v>15</v>
      </c>
      <c r="B17" s="30" t="s">
        <v>175</v>
      </c>
    </row>
    <row r="18" spans="1:2" outlineLevel="1">
      <c r="A18" s="30">
        <v>16</v>
      </c>
      <c r="B18" s="30" t="s">
        <v>176</v>
      </c>
    </row>
    <row r="19" spans="1:2" outlineLevel="1">
      <c r="A19" s="30">
        <v>17</v>
      </c>
      <c r="B19" s="30" t="s">
        <v>177</v>
      </c>
    </row>
    <row r="20" spans="1:2" outlineLevel="1">
      <c r="A20" s="30">
        <v>18</v>
      </c>
      <c r="B20" s="30" t="s">
        <v>178</v>
      </c>
    </row>
    <row r="21" spans="1:2" outlineLevel="1">
      <c r="A21" s="30">
        <v>19</v>
      </c>
      <c r="B21" s="30" t="s">
        <v>179</v>
      </c>
    </row>
    <row r="22" spans="1:2" outlineLevel="1">
      <c r="A22" s="30">
        <v>20</v>
      </c>
      <c r="B22" s="30" t="s">
        <v>180</v>
      </c>
    </row>
    <row r="23" spans="1:2" ht="18.75" customHeight="1" collapsed="1">
      <c r="A23" s="109" t="s">
        <v>181</v>
      </c>
      <c r="B23" s="109"/>
    </row>
    <row r="24" spans="1:2" hidden="1" outlineLevel="1">
      <c r="A24" s="30">
        <v>1</v>
      </c>
      <c r="B24" s="30" t="s">
        <v>182</v>
      </c>
    </row>
    <row r="25" spans="1:2" hidden="1" outlineLevel="1">
      <c r="A25" s="30">
        <v>2</v>
      </c>
      <c r="B25" s="30" t="s">
        <v>183</v>
      </c>
    </row>
    <row r="26" spans="1:2" ht="45" hidden="1" outlineLevel="1">
      <c r="A26" s="30">
        <v>3</v>
      </c>
      <c r="B26" s="30" t="s">
        <v>184</v>
      </c>
    </row>
    <row r="27" spans="1:2" ht="30" hidden="1" outlineLevel="1">
      <c r="A27" s="30">
        <v>4</v>
      </c>
      <c r="B27" s="30" t="s">
        <v>185</v>
      </c>
    </row>
    <row r="28" spans="1:2" hidden="1" outlineLevel="1">
      <c r="A28" s="30">
        <v>5</v>
      </c>
      <c r="B28" s="30" t="s">
        <v>186</v>
      </c>
    </row>
    <row r="29" spans="1:2" hidden="1" outlineLevel="1">
      <c r="A29" s="30">
        <v>6</v>
      </c>
      <c r="B29" s="30" t="s">
        <v>187</v>
      </c>
    </row>
    <row r="30" spans="1:2" ht="30" hidden="1" outlineLevel="1">
      <c r="A30" s="30">
        <v>7</v>
      </c>
      <c r="B30" s="30" t="s">
        <v>188</v>
      </c>
    </row>
    <row r="31" spans="1:2" hidden="1" outlineLevel="1">
      <c r="A31" s="30">
        <v>8</v>
      </c>
      <c r="B31" s="30" t="s">
        <v>189</v>
      </c>
    </row>
    <row r="32" spans="1:2" hidden="1" outlineLevel="1">
      <c r="A32" s="30">
        <v>9</v>
      </c>
      <c r="B32" s="30" t="s">
        <v>190</v>
      </c>
    </row>
    <row r="33" spans="1:2" hidden="1" outlineLevel="1">
      <c r="A33" s="30">
        <v>10</v>
      </c>
      <c r="B33" s="30" t="s">
        <v>191</v>
      </c>
    </row>
    <row r="34" spans="1:2" hidden="1" outlineLevel="1">
      <c r="A34" s="30">
        <v>11</v>
      </c>
      <c r="B34" s="30" t="s">
        <v>192</v>
      </c>
    </row>
    <row r="35" spans="1:2" ht="30" hidden="1" outlineLevel="1">
      <c r="A35" s="30">
        <v>12</v>
      </c>
      <c r="B35" s="30" t="s">
        <v>193</v>
      </c>
    </row>
    <row r="36" spans="1:2" hidden="1" outlineLevel="1">
      <c r="A36" s="30">
        <v>13</v>
      </c>
      <c r="B36" s="30" t="s">
        <v>194</v>
      </c>
    </row>
    <row r="37" spans="1:2" hidden="1" outlineLevel="1">
      <c r="A37" s="30">
        <v>14</v>
      </c>
      <c r="B37" s="30" t="s">
        <v>195</v>
      </c>
    </row>
    <row r="38" spans="1:2" hidden="1" outlineLevel="1">
      <c r="A38" s="30">
        <v>15</v>
      </c>
      <c r="B38" s="30" t="s">
        <v>196</v>
      </c>
    </row>
    <row r="39" spans="1:2" hidden="1" outlineLevel="1">
      <c r="A39" s="30">
        <v>16</v>
      </c>
      <c r="B39" s="30" t="s">
        <v>197</v>
      </c>
    </row>
    <row r="40" spans="1:2" ht="30" hidden="1" outlineLevel="1">
      <c r="A40" s="30">
        <v>17</v>
      </c>
      <c r="B40" s="30" t="s">
        <v>198</v>
      </c>
    </row>
    <row r="41" spans="1:2" hidden="1" outlineLevel="1">
      <c r="A41" s="30">
        <v>18</v>
      </c>
      <c r="B41" s="30" t="s">
        <v>199</v>
      </c>
    </row>
    <row r="42" spans="1:2" hidden="1" outlineLevel="1">
      <c r="A42" s="30">
        <v>19</v>
      </c>
      <c r="B42" s="30" t="s">
        <v>200</v>
      </c>
    </row>
    <row r="43" spans="1:2" hidden="1" outlineLevel="1">
      <c r="A43" s="30">
        <v>20</v>
      </c>
      <c r="B43" s="30" t="s">
        <v>201</v>
      </c>
    </row>
    <row r="44" spans="1:2" hidden="1" outlineLevel="1">
      <c r="A44" s="30">
        <v>21</v>
      </c>
      <c r="B44" s="30" t="s">
        <v>202</v>
      </c>
    </row>
    <row r="45" spans="1:2" hidden="1" outlineLevel="1">
      <c r="A45" s="30">
        <v>22</v>
      </c>
      <c r="B45" s="30" t="s">
        <v>203</v>
      </c>
    </row>
    <row r="46" spans="1:2" ht="30" hidden="1" outlineLevel="1">
      <c r="A46" s="30">
        <v>23</v>
      </c>
      <c r="B46" s="30" t="s">
        <v>204</v>
      </c>
    </row>
    <row r="47" spans="1:2" hidden="1" outlineLevel="1">
      <c r="A47" s="30">
        <v>24</v>
      </c>
      <c r="B47" s="30" t="s">
        <v>205</v>
      </c>
    </row>
    <row r="48" spans="1:2" ht="30" hidden="1" outlineLevel="1">
      <c r="A48" s="30">
        <v>25</v>
      </c>
      <c r="B48" s="30" t="s">
        <v>206</v>
      </c>
    </row>
    <row r="49" spans="1:2" hidden="1" outlineLevel="1">
      <c r="A49" s="30">
        <v>26</v>
      </c>
      <c r="B49" s="30" t="s">
        <v>207</v>
      </c>
    </row>
    <row r="50" spans="1:2" ht="30" hidden="1" outlineLevel="1">
      <c r="A50" s="30">
        <v>27</v>
      </c>
      <c r="B50" s="30" t="s">
        <v>208</v>
      </c>
    </row>
    <row r="51" spans="1:2" ht="18.75" customHeight="1">
      <c r="A51" s="109" t="s">
        <v>209</v>
      </c>
      <c r="B51" s="109"/>
    </row>
    <row r="52" spans="1:2" ht="15.75" customHeight="1" collapsed="1">
      <c r="A52" s="106" t="s">
        <v>210</v>
      </c>
      <c r="B52" s="107"/>
    </row>
    <row r="53" spans="1:2" ht="30" hidden="1" outlineLevel="1">
      <c r="A53" s="30">
        <v>1</v>
      </c>
      <c r="B53" s="30" t="s">
        <v>211</v>
      </c>
    </row>
    <row r="54" spans="1:2" hidden="1" outlineLevel="1">
      <c r="A54" s="30">
        <v>2</v>
      </c>
      <c r="B54" s="30" t="s">
        <v>212</v>
      </c>
    </row>
    <row r="55" spans="1:2" hidden="1" outlineLevel="1">
      <c r="A55" s="30">
        <v>3</v>
      </c>
      <c r="B55" s="30" t="s">
        <v>213</v>
      </c>
    </row>
    <row r="56" spans="1:2" hidden="1" outlineLevel="1">
      <c r="A56" s="30">
        <v>4</v>
      </c>
      <c r="B56" s="30" t="s">
        <v>214</v>
      </c>
    </row>
    <row r="57" spans="1:2" hidden="1" outlineLevel="1">
      <c r="A57" s="30">
        <v>5</v>
      </c>
      <c r="B57" s="30" t="s">
        <v>215</v>
      </c>
    </row>
    <row r="58" spans="1:2" hidden="1" outlineLevel="1">
      <c r="A58" s="30">
        <v>6</v>
      </c>
      <c r="B58" s="30" t="s">
        <v>216</v>
      </c>
    </row>
    <row r="59" spans="1:2" hidden="1" outlineLevel="1">
      <c r="A59" s="30">
        <v>7</v>
      </c>
      <c r="B59" s="30" t="s">
        <v>217</v>
      </c>
    </row>
    <row r="60" spans="1:2" hidden="1" outlineLevel="1">
      <c r="A60" s="30">
        <v>8</v>
      </c>
      <c r="B60" s="30" t="s">
        <v>218</v>
      </c>
    </row>
    <row r="61" spans="1:2" hidden="1" outlineLevel="1">
      <c r="A61" s="30">
        <v>9</v>
      </c>
      <c r="B61" s="30" t="s">
        <v>219</v>
      </c>
    </row>
    <row r="62" spans="1:2" hidden="1" outlineLevel="1">
      <c r="A62" s="30">
        <v>10</v>
      </c>
      <c r="B62" s="30" t="s">
        <v>220</v>
      </c>
    </row>
    <row r="63" spans="1:2" hidden="1" outlineLevel="1">
      <c r="A63" s="30">
        <v>11</v>
      </c>
      <c r="B63" s="30" t="s">
        <v>221</v>
      </c>
    </row>
    <row r="64" spans="1:2" hidden="1" outlineLevel="1">
      <c r="A64" s="30">
        <v>12</v>
      </c>
      <c r="B64" s="30" t="s">
        <v>222</v>
      </c>
    </row>
    <row r="65" spans="1:2" hidden="1" outlineLevel="1">
      <c r="A65" s="30">
        <v>13</v>
      </c>
      <c r="B65" s="30" t="s">
        <v>223</v>
      </c>
    </row>
    <row r="66" spans="1:2" hidden="1" outlineLevel="1">
      <c r="A66" s="30">
        <v>14</v>
      </c>
      <c r="B66" s="30" t="s">
        <v>224</v>
      </c>
    </row>
    <row r="67" spans="1:2" hidden="1" outlineLevel="1">
      <c r="A67" s="30">
        <v>15</v>
      </c>
      <c r="B67" s="30" t="s">
        <v>225</v>
      </c>
    </row>
    <row r="68" spans="1:2" hidden="1" outlineLevel="1">
      <c r="A68" s="30">
        <v>16</v>
      </c>
      <c r="B68" s="30" t="s">
        <v>226</v>
      </c>
    </row>
    <row r="69" spans="1:2" hidden="1" outlineLevel="1">
      <c r="A69" s="30">
        <v>17</v>
      </c>
      <c r="B69" s="30" t="s">
        <v>227</v>
      </c>
    </row>
    <row r="70" spans="1:2" hidden="1" outlineLevel="1">
      <c r="A70" s="30">
        <v>18</v>
      </c>
      <c r="B70" s="30" t="s">
        <v>228</v>
      </c>
    </row>
    <row r="71" spans="1:2" hidden="1" outlineLevel="1">
      <c r="A71" s="30">
        <v>19</v>
      </c>
      <c r="B71" s="30" t="s">
        <v>229</v>
      </c>
    </row>
    <row r="72" spans="1:2" hidden="1" outlineLevel="1">
      <c r="A72" s="30">
        <v>20</v>
      </c>
      <c r="B72" s="30" t="s">
        <v>230</v>
      </c>
    </row>
    <row r="73" spans="1:2" hidden="1" outlineLevel="1">
      <c r="A73" s="30">
        <v>21</v>
      </c>
      <c r="B73" s="30" t="s">
        <v>231</v>
      </c>
    </row>
    <row r="74" spans="1:2" hidden="1" outlineLevel="1">
      <c r="A74" s="30">
        <v>22</v>
      </c>
      <c r="B74" s="30" t="s">
        <v>232</v>
      </c>
    </row>
    <row r="75" spans="1:2" hidden="1" outlineLevel="1">
      <c r="A75" s="30">
        <v>23</v>
      </c>
      <c r="B75" s="30" t="s">
        <v>233</v>
      </c>
    </row>
    <row r="76" spans="1:2" hidden="1" outlineLevel="1">
      <c r="A76" s="30">
        <v>24</v>
      </c>
      <c r="B76" s="30" t="s">
        <v>234</v>
      </c>
    </row>
    <row r="77" spans="1:2" hidden="1" outlineLevel="1">
      <c r="A77" s="30">
        <v>25</v>
      </c>
      <c r="B77" s="30" t="s">
        <v>235</v>
      </c>
    </row>
    <row r="78" spans="1:2" hidden="1" outlineLevel="1">
      <c r="A78" s="30">
        <v>26</v>
      </c>
      <c r="B78" s="30" t="s">
        <v>236</v>
      </c>
    </row>
    <row r="79" spans="1:2" hidden="1" outlineLevel="1">
      <c r="A79" s="30">
        <v>27</v>
      </c>
      <c r="B79" s="30" t="s">
        <v>237</v>
      </c>
    </row>
    <row r="80" spans="1:2" hidden="1" outlineLevel="1">
      <c r="A80" s="30">
        <v>28</v>
      </c>
      <c r="B80" s="30" t="s">
        <v>238</v>
      </c>
    </row>
    <row r="81" spans="1:2" hidden="1" outlineLevel="1">
      <c r="A81" s="30">
        <v>29</v>
      </c>
      <c r="B81" s="30" t="s">
        <v>239</v>
      </c>
    </row>
    <row r="82" spans="1:2" hidden="1" outlineLevel="1">
      <c r="A82" s="30">
        <v>30</v>
      </c>
      <c r="B82" s="30" t="s">
        <v>240</v>
      </c>
    </row>
    <row r="83" spans="1:2" ht="21" hidden="1" customHeight="1" outlineLevel="1">
      <c r="A83" s="30">
        <v>31</v>
      </c>
      <c r="B83" s="30" t="s">
        <v>241</v>
      </c>
    </row>
    <row r="84" spans="1:2" ht="15.75" customHeight="1" collapsed="1">
      <c r="A84" s="106" t="s">
        <v>242</v>
      </c>
      <c r="B84" s="107"/>
    </row>
    <row r="85" spans="1:2" ht="30" hidden="1" outlineLevel="1">
      <c r="A85" s="30">
        <v>1</v>
      </c>
      <c r="B85" s="30" t="s">
        <v>243</v>
      </c>
    </row>
    <row r="86" spans="1:2" hidden="1" outlineLevel="1">
      <c r="A86" s="30">
        <v>2</v>
      </c>
      <c r="B86" s="30" t="s">
        <v>244</v>
      </c>
    </row>
    <row r="87" spans="1:2" hidden="1" outlineLevel="1">
      <c r="A87" s="30">
        <v>3</v>
      </c>
      <c r="B87" s="30" t="s">
        <v>245</v>
      </c>
    </row>
    <row r="88" spans="1:2" hidden="1" outlineLevel="1">
      <c r="A88" s="30">
        <v>4</v>
      </c>
      <c r="B88" s="30" t="s">
        <v>246</v>
      </c>
    </row>
    <row r="89" spans="1:2" hidden="1" outlineLevel="1">
      <c r="A89" s="30">
        <v>5</v>
      </c>
      <c r="B89" s="30" t="s">
        <v>247</v>
      </c>
    </row>
    <row r="90" spans="1:2" hidden="1" outlineLevel="1">
      <c r="A90" s="30">
        <v>6</v>
      </c>
      <c r="B90" s="30" t="s">
        <v>248</v>
      </c>
    </row>
    <row r="91" spans="1:2" hidden="1" outlineLevel="1">
      <c r="A91" s="30">
        <v>7</v>
      </c>
      <c r="B91" s="30" t="s">
        <v>249</v>
      </c>
    </row>
    <row r="92" spans="1:2" hidden="1" outlineLevel="1">
      <c r="A92" s="30">
        <v>8</v>
      </c>
      <c r="B92" s="30" t="s">
        <v>250</v>
      </c>
    </row>
    <row r="93" spans="1:2" hidden="1" outlineLevel="1">
      <c r="A93" s="30">
        <v>9</v>
      </c>
      <c r="B93" s="30" t="s">
        <v>251</v>
      </c>
    </row>
    <row r="94" spans="1:2" hidden="1" outlineLevel="1">
      <c r="A94" s="30">
        <v>10</v>
      </c>
      <c r="B94" s="30" t="s">
        <v>252</v>
      </c>
    </row>
    <row r="95" spans="1:2" hidden="1" outlineLevel="1">
      <c r="A95" s="30">
        <v>11</v>
      </c>
      <c r="B95" s="30" t="s">
        <v>253</v>
      </c>
    </row>
    <row r="96" spans="1:2" hidden="1" outlineLevel="1">
      <c r="A96" s="30">
        <v>12</v>
      </c>
      <c r="B96" s="30" t="s">
        <v>254</v>
      </c>
    </row>
    <row r="97" spans="1:2" hidden="1" outlineLevel="1">
      <c r="A97" s="30">
        <v>13</v>
      </c>
      <c r="B97" s="30" t="s">
        <v>255</v>
      </c>
    </row>
    <row r="98" spans="1:2" hidden="1" outlineLevel="1">
      <c r="A98" s="30">
        <v>14</v>
      </c>
      <c r="B98" s="30" t="s">
        <v>256</v>
      </c>
    </row>
    <row r="99" spans="1:2" hidden="1" outlineLevel="1">
      <c r="A99" s="30">
        <v>15</v>
      </c>
      <c r="B99" s="30" t="s">
        <v>257</v>
      </c>
    </row>
    <row r="100" spans="1:2" hidden="1" outlineLevel="1">
      <c r="A100" s="30">
        <v>16</v>
      </c>
      <c r="B100" s="30" t="s">
        <v>258</v>
      </c>
    </row>
    <row r="101" spans="1:2" hidden="1" outlineLevel="1">
      <c r="A101" s="30">
        <v>17</v>
      </c>
      <c r="B101" s="30" t="s">
        <v>259</v>
      </c>
    </row>
    <row r="102" spans="1:2" hidden="1" outlineLevel="1">
      <c r="A102" s="30">
        <v>18</v>
      </c>
      <c r="B102" s="30" t="s">
        <v>260</v>
      </c>
    </row>
    <row r="103" spans="1:2" hidden="1" outlineLevel="1">
      <c r="A103" s="30">
        <v>19</v>
      </c>
      <c r="B103" s="30" t="s">
        <v>261</v>
      </c>
    </row>
    <row r="104" spans="1:2" hidden="1" outlineLevel="1">
      <c r="A104" s="30">
        <v>20</v>
      </c>
      <c r="B104" s="30" t="s">
        <v>262</v>
      </c>
    </row>
    <row r="105" spans="1:2" hidden="1" outlineLevel="1">
      <c r="A105" s="30">
        <v>21</v>
      </c>
      <c r="B105" s="30" t="s">
        <v>263</v>
      </c>
    </row>
    <row r="106" spans="1:2" hidden="1" outlineLevel="1">
      <c r="A106" s="30">
        <v>22</v>
      </c>
      <c r="B106" s="30" t="s">
        <v>264</v>
      </c>
    </row>
    <row r="107" spans="1:2" hidden="1" outlineLevel="1">
      <c r="A107" s="30">
        <v>23</v>
      </c>
      <c r="B107" s="30" t="s">
        <v>265</v>
      </c>
    </row>
    <row r="108" spans="1:2" hidden="1" outlineLevel="1">
      <c r="A108" s="30">
        <v>24</v>
      </c>
      <c r="B108" s="30" t="s">
        <v>266</v>
      </c>
    </row>
    <row r="109" spans="1:2" hidden="1" outlineLevel="1">
      <c r="A109" s="30">
        <v>25</v>
      </c>
      <c r="B109" s="30" t="s">
        <v>267</v>
      </c>
    </row>
    <row r="110" spans="1:2" hidden="1" outlineLevel="1">
      <c r="A110" s="30">
        <v>26</v>
      </c>
      <c r="B110" s="30" t="s">
        <v>268</v>
      </c>
    </row>
    <row r="111" spans="1:2" hidden="1" outlineLevel="1">
      <c r="A111" s="30">
        <v>27</v>
      </c>
      <c r="B111" s="30" t="s">
        <v>269</v>
      </c>
    </row>
    <row r="112" spans="1:2" hidden="1" outlineLevel="1">
      <c r="A112" s="30">
        <v>28</v>
      </c>
      <c r="B112" s="30" t="s">
        <v>270</v>
      </c>
    </row>
    <row r="113" spans="1:2" hidden="1" outlineLevel="1">
      <c r="A113" s="30">
        <v>29</v>
      </c>
      <c r="B113" s="30" t="s">
        <v>271</v>
      </c>
    </row>
    <row r="114" spans="1:2" hidden="1" outlineLevel="1">
      <c r="A114" s="30">
        <v>30</v>
      </c>
      <c r="B114" s="30" t="s">
        <v>272</v>
      </c>
    </row>
    <row r="115" spans="1:2" hidden="1" outlineLevel="1">
      <c r="A115" s="30">
        <v>31</v>
      </c>
      <c r="B115" s="30" t="s">
        <v>273</v>
      </c>
    </row>
    <row r="116" spans="1:2" hidden="1" outlineLevel="1">
      <c r="A116" s="30">
        <v>32</v>
      </c>
      <c r="B116" s="30" t="s">
        <v>274</v>
      </c>
    </row>
    <row r="117" spans="1:2" hidden="1" outlineLevel="1">
      <c r="A117" s="30">
        <v>33</v>
      </c>
      <c r="B117" s="30" t="s">
        <v>275</v>
      </c>
    </row>
    <row r="118" spans="1:2" hidden="1" outlineLevel="1">
      <c r="A118" s="30">
        <v>34</v>
      </c>
      <c r="B118" s="30" t="s">
        <v>276</v>
      </c>
    </row>
    <row r="119" spans="1:2" hidden="1" outlineLevel="1">
      <c r="A119" s="30">
        <v>35</v>
      </c>
      <c r="B119" s="30" t="s">
        <v>277</v>
      </c>
    </row>
    <row r="120" spans="1:2" ht="15.75" customHeight="1" collapsed="1">
      <c r="A120" s="106" t="s">
        <v>278</v>
      </c>
      <c r="B120" s="107"/>
    </row>
    <row r="121" spans="1:2" hidden="1" outlineLevel="1">
      <c r="A121" s="30">
        <v>1</v>
      </c>
      <c r="B121" s="30" t="s">
        <v>279</v>
      </c>
    </row>
    <row r="122" spans="1:2" ht="30" hidden="1" outlineLevel="1">
      <c r="A122" s="30">
        <v>2</v>
      </c>
      <c r="B122" s="30" t="s">
        <v>280</v>
      </c>
    </row>
    <row r="123" spans="1:2" ht="18.75" customHeight="1">
      <c r="A123" s="109" t="s">
        <v>281</v>
      </c>
      <c r="B123" s="109"/>
    </row>
    <row r="124" spans="1:2" ht="15.75" customHeight="1" collapsed="1">
      <c r="A124" s="106" t="s">
        <v>282</v>
      </c>
      <c r="B124" s="107"/>
    </row>
    <row r="125" spans="1:2" hidden="1" outlineLevel="1">
      <c r="A125" s="30">
        <v>1</v>
      </c>
      <c r="B125" s="30" t="s">
        <v>283</v>
      </c>
    </row>
    <row r="126" spans="1:2" hidden="1" outlineLevel="1">
      <c r="A126" s="30">
        <v>2</v>
      </c>
      <c r="B126" s="30" t="s">
        <v>284</v>
      </c>
    </row>
    <row r="127" spans="1:2" hidden="1" outlineLevel="1">
      <c r="A127" s="30">
        <v>3</v>
      </c>
      <c r="B127" s="30" t="s">
        <v>285</v>
      </c>
    </row>
    <row r="128" spans="1:2" hidden="1" outlineLevel="1">
      <c r="A128" s="30">
        <v>4</v>
      </c>
      <c r="B128" s="30" t="s">
        <v>286</v>
      </c>
    </row>
    <row r="129" spans="1:2" hidden="1" outlineLevel="1">
      <c r="A129" s="30">
        <v>5</v>
      </c>
      <c r="B129" s="30" t="s">
        <v>287</v>
      </c>
    </row>
    <row r="130" spans="1:2" hidden="1" outlineLevel="1">
      <c r="A130" s="30">
        <v>6</v>
      </c>
      <c r="B130" s="30" t="s">
        <v>288</v>
      </c>
    </row>
    <row r="131" spans="1:2" ht="15.75" customHeight="1" collapsed="1">
      <c r="A131" s="106" t="s">
        <v>289</v>
      </c>
      <c r="B131" s="107"/>
    </row>
    <row r="132" spans="1:2" hidden="1" outlineLevel="1">
      <c r="A132" s="30">
        <v>1</v>
      </c>
      <c r="B132" s="30" t="s">
        <v>290</v>
      </c>
    </row>
    <row r="133" spans="1:2" ht="30" hidden="1" outlineLevel="1">
      <c r="A133" s="30">
        <v>2</v>
      </c>
      <c r="B133" s="30" t="s">
        <v>291</v>
      </c>
    </row>
    <row r="134" spans="1:2" hidden="1" outlineLevel="1">
      <c r="A134" s="30">
        <v>3</v>
      </c>
      <c r="B134" s="30" t="s">
        <v>292</v>
      </c>
    </row>
    <row r="135" spans="1:2" hidden="1" outlineLevel="1">
      <c r="A135" s="30">
        <v>4</v>
      </c>
      <c r="B135" s="30" t="s">
        <v>293</v>
      </c>
    </row>
    <row r="136" spans="1:2" hidden="1" outlineLevel="1">
      <c r="A136" s="30">
        <v>5</v>
      </c>
      <c r="B136" s="30" t="s">
        <v>294</v>
      </c>
    </row>
    <row r="137" spans="1:2" ht="30" hidden="1" outlineLevel="1">
      <c r="A137" s="30">
        <v>6</v>
      </c>
      <c r="B137" s="30" t="s">
        <v>295</v>
      </c>
    </row>
    <row r="138" spans="1:2" ht="15.75" customHeight="1" collapsed="1">
      <c r="A138" s="106" t="s">
        <v>296</v>
      </c>
      <c r="B138" s="107"/>
    </row>
    <row r="139" spans="1:2" ht="30" hidden="1" outlineLevel="1">
      <c r="A139" s="30">
        <v>1</v>
      </c>
      <c r="B139" s="30" t="s">
        <v>297</v>
      </c>
    </row>
    <row r="140" spans="1:2" hidden="1" outlineLevel="1">
      <c r="A140" s="30">
        <v>2</v>
      </c>
      <c r="B140" s="30" t="s">
        <v>298</v>
      </c>
    </row>
    <row r="141" spans="1:2" ht="30" hidden="1" outlineLevel="1">
      <c r="A141" s="30">
        <v>3</v>
      </c>
      <c r="B141" s="30" t="s">
        <v>299</v>
      </c>
    </row>
    <row r="142" spans="1:2" ht="15.75" customHeight="1" collapsed="1">
      <c r="A142" s="106" t="s">
        <v>300</v>
      </c>
      <c r="B142" s="107"/>
    </row>
    <row r="143" spans="1:2" ht="30" hidden="1" outlineLevel="1">
      <c r="A143" s="30">
        <v>1</v>
      </c>
      <c r="B143" s="30" t="s">
        <v>301</v>
      </c>
    </row>
    <row r="144" spans="1:2" hidden="1" outlineLevel="1">
      <c r="A144" s="30">
        <v>2</v>
      </c>
      <c r="B144" s="30" t="s">
        <v>302</v>
      </c>
    </row>
    <row r="145" spans="1:2" hidden="1" outlineLevel="1">
      <c r="A145" s="30">
        <v>3</v>
      </c>
      <c r="B145" s="30" t="s">
        <v>303</v>
      </c>
    </row>
    <row r="146" spans="1:2" hidden="1" outlineLevel="1">
      <c r="A146" s="30">
        <v>4</v>
      </c>
      <c r="B146" s="30" t="s">
        <v>304</v>
      </c>
    </row>
    <row r="147" spans="1:2" hidden="1" outlineLevel="1">
      <c r="A147" s="30">
        <v>5</v>
      </c>
      <c r="B147" s="30" t="s">
        <v>305</v>
      </c>
    </row>
    <row r="148" spans="1:2" hidden="1" outlineLevel="1">
      <c r="A148" s="30">
        <v>6</v>
      </c>
      <c r="B148" s="30" t="s">
        <v>306</v>
      </c>
    </row>
    <row r="149" spans="1:2" ht="15.75" customHeight="1" collapsed="1">
      <c r="A149" s="106" t="s">
        <v>307</v>
      </c>
      <c r="B149" s="107"/>
    </row>
    <row r="150" spans="1:2" ht="30" hidden="1" outlineLevel="1">
      <c r="A150" s="30">
        <v>1</v>
      </c>
      <c r="B150" s="30" t="s">
        <v>308</v>
      </c>
    </row>
    <row r="151" spans="1:2" ht="15.75" customHeight="1" collapsed="1">
      <c r="A151" s="106" t="s">
        <v>309</v>
      </c>
      <c r="B151" s="107"/>
    </row>
    <row r="152" spans="1:2" hidden="1" outlineLevel="1">
      <c r="A152" s="30">
        <v>1</v>
      </c>
      <c r="B152" s="30" t="s">
        <v>310</v>
      </c>
    </row>
    <row r="153" spans="1:2" hidden="1" outlineLevel="1">
      <c r="A153" s="30">
        <v>2</v>
      </c>
      <c r="B153" s="30" t="s">
        <v>311</v>
      </c>
    </row>
    <row r="154" spans="1:2" hidden="1" outlineLevel="1">
      <c r="A154" s="30">
        <v>3</v>
      </c>
      <c r="B154" s="30" t="s">
        <v>312</v>
      </c>
    </row>
    <row r="155" spans="1:2" hidden="1" outlineLevel="1">
      <c r="A155" s="30">
        <v>4</v>
      </c>
      <c r="B155" s="30" t="s">
        <v>313</v>
      </c>
    </row>
    <row r="156" spans="1:2" ht="18.75" customHeight="1" collapsed="1">
      <c r="A156" s="109" t="s">
        <v>314</v>
      </c>
      <c r="B156" s="109"/>
    </row>
    <row r="157" spans="1:2" ht="45" hidden="1" outlineLevel="1">
      <c r="A157" s="30">
        <v>1</v>
      </c>
      <c r="B157" s="30" t="s">
        <v>315</v>
      </c>
    </row>
    <row r="158" spans="1:2" ht="60" hidden="1" outlineLevel="1">
      <c r="A158" s="30">
        <v>2</v>
      </c>
      <c r="B158" s="30" t="s">
        <v>316</v>
      </c>
    </row>
    <row r="159" spans="1:2" ht="75" hidden="1" outlineLevel="1">
      <c r="A159" s="30">
        <v>3</v>
      </c>
      <c r="B159" s="30" t="s">
        <v>317</v>
      </c>
    </row>
    <row r="160" spans="1:2" ht="30" hidden="1" outlineLevel="1">
      <c r="A160" s="30">
        <v>4</v>
      </c>
      <c r="B160" s="30" t="s">
        <v>318</v>
      </c>
    </row>
    <row r="161" spans="1:2" ht="75" hidden="1" outlineLevel="1">
      <c r="A161" s="30">
        <v>5</v>
      </c>
      <c r="B161" s="30" t="s">
        <v>319</v>
      </c>
    </row>
    <row r="162" spans="1:2" ht="90" hidden="1" outlineLevel="1">
      <c r="A162" s="30">
        <v>6</v>
      </c>
      <c r="B162" s="30" t="s">
        <v>320</v>
      </c>
    </row>
    <row r="163" spans="1:2" ht="30" hidden="1" outlineLevel="1">
      <c r="A163" s="30">
        <v>7</v>
      </c>
      <c r="B163" s="30" t="s">
        <v>321</v>
      </c>
    </row>
    <row r="164" spans="1:2" ht="18.75" customHeight="1" collapsed="1">
      <c r="A164" s="109" t="s">
        <v>322</v>
      </c>
      <c r="B164" s="109"/>
    </row>
    <row r="165" spans="1:2" hidden="1" outlineLevel="1">
      <c r="A165" s="30">
        <v>1</v>
      </c>
      <c r="B165" s="30" t="s">
        <v>323</v>
      </c>
    </row>
    <row r="166" spans="1:2" hidden="1" outlineLevel="1">
      <c r="A166" s="30">
        <v>2</v>
      </c>
      <c r="B166" s="30" t="s">
        <v>324</v>
      </c>
    </row>
    <row r="167" spans="1:2" hidden="1" outlineLevel="1">
      <c r="A167" s="30">
        <v>3</v>
      </c>
      <c r="B167" s="30" t="s">
        <v>325</v>
      </c>
    </row>
    <row r="168" spans="1:2" hidden="1" outlineLevel="1">
      <c r="A168" s="30">
        <v>4</v>
      </c>
      <c r="B168" s="30" t="s">
        <v>326</v>
      </c>
    </row>
    <row r="169" spans="1:2" hidden="1" outlineLevel="1">
      <c r="A169" s="30">
        <v>5</v>
      </c>
      <c r="B169" s="30" t="s">
        <v>327</v>
      </c>
    </row>
    <row r="170" spans="1:2" hidden="1" outlineLevel="1">
      <c r="A170" s="30">
        <v>6</v>
      </c>
      <c r="B170" s="30" t="s">
        <v>328</v>
      </c>
    </row>
    <row r="171" spans="1:2" hidden="1" outlineLevel="1">
      <c r="A171" s="30">
        <v>7</v>
      </c>
      <c r="B171" s="30" t="s">
        <v>329</v>
      </c>
    </row>
    <row r="172" spans="1:2" hidden="1" outlineLevel="1">
      <c r="A172" s="30">
        <v>8</v>
      </c>
      <c r="B172" s="30" t="s">
        <v>330</v>
      </c>
    </row>
    <row r="173" spans="1:2" hidden="1" outlineLevel="1">
      <c r="A173" s="30">
        <v>9</v>
      </c>
      <c r="B173" s="30" t="s">
        <v>331</v>
      </c>
    </row>
    <row r="174" spans="1:2" hidden="1" outlineLevel="1">
      <c r="A174" s="30">
        <v>10</v>
      </c>
      <c r="B174" s="30" t="s">
        <v>332</v>
      </c>
    </row>
    <row r="175" spans="1:2" hidden="1" outlineLevel="1">
      <c r="A175" s="30">
        <v>11</v>
      </c>
      <c r="B175" s="30" t="s">
        <v>333</v>
      </c>
    </row>
    <row r="176" spans="1:2" hidden="1" outlineLevel="1">
      <c r="A176" s="30">
        <v>12</v>
      </c>
      <c r="B176" s="30" t="s">
        <v>334</v>
      </c>
    </row>
    <row r="177" spans="1:2" hidden="1" outlineLevel="1">
      <c r="A177" s="30">
        <v>13</v>
      </c>
      <c r="B177" s="30" t="s">
        <v>335</v>
      </c>
    </row>
    <row r="178" spans="1:2" hidden="1" outlineLevel="1">
      <c r="A178" s="30">
        <v>14</v>
      </c>
      <c r="B178" s="30" t="s">
        <v>336</v>
      </c>
    </row>
    <row r="179" spans="1:2" hidden="1" outlineLevel="1">
      <c r="A179" s="30">
        <v>15</v>
      </c>
      <c r="B179" s="30" t="s">
        <v>337</v>
      </c>
    </row>
    <row r="180" spans="1:2" hidden="1" outlineLevel="1">
      <c r="A180" s="30">
        <v>16</v>
      </c>
      <c r="B180" s="30" t="s">
        <v>338</v>
      </c>
    </row>
    <row r="181" spans="1:2" ht="18.75" customHeight="1">
      <c r="A181" s="109" t="s">
        <v>339</v>
      </c>
      <c r="B181" s="109"/>
    </row>
    <row r="182" spans="1:2" ht="15.75" customHeight="1" collapsed="1">
      <c r="A182" s="106" t="s">
        <v>340</v>
      </c>
      <c r="B182" s="107"/>
    </row>
    <row r="183" spans="1:2" hidden="1" outlineLevel="1">
      <c r="A183" s="30">
        <v>1</v>
      </c>
      <c r="B183" s="30" t="s">
        <v>341</v>
      </c>
    </row>
    <row r="184" spans="1:2" hidden="1" outlineLevel="1">
      <c r="A184" s="30">
        <v>2</v>
      </c>
      <c r="B184" s="30" t="s">
        <v>342</v>
      </c>
    </row>
    <row r="185" spans="1:2" hidden="1" outlineLevel="1">
      <c r="A185" s="30">
        <v>3</v>
      </c>
      <c r="B185" s="30" t="s">
        <v>343</v>
      </c>
    </row>
    <row r="186" spans="1:2" hidden="1" outlineLevel="1">
      <c r="A186" s="30">
        <v>4</v>
      </c>
      <c r="B186" s="30" t="s">
        <v>344</v>
      </c>
    </row>
    <row r="187" spans="1:2" ht="30" hidden="1" outlineLevel="1">
      <c r="A187" s="30">
        <v>5</v>
      </c>
      <c r="B187" s="30" t="s">
        <v>345</v>
      </c>
    </row>
    <row r="188" spans="1:2" hidden="1" outlineLevel="1">
      <c r="A188" s="30">
        <v>6</v>
      </c>
      <c r="B188" s="30" t="s">
        <v>346</v>
      </c>
    </row>
    <row r="189" spans="1:2" hidden="1" outlineLevel="1">
      <c r="A189" s="30">
        <v>7</v>
      </c>
      <c r="B189" s="30" t="s">
        <v>347</v>
      </c>
    </row>
    <row r="190" spans="1:2" hidden="1" outlineLevel="1">
      <c r="A190" s="30">
        <v>8</v>
      </c>
      <c r="B190" s="30" t="s">
        <v>348</v>
      </c>
    </row>
    <row r="191" spans="1:2" hidden="1" outlineLevel="1">
      <c r="A191" s="30">
        <v>9</v>
      </c>
      <c r="B191" s="30" t="s">
        <v>349</v>
      </c>
    </row>
    <row r="192" spans="1:2" hidden="1" outlineLevel="1">
      <c r="A192" s="30">
        <v>10</v>
      </c>
      <c r="B192" s="30" t="s">
        <v>350</v>
      </c>
    </row>
    <row r="193" spans="1:2" hidden="1" outlineLevel="1">
      <c r="A193" s="30">
        <v>11</v>
      </c>
      <c r="B193" s="30" t="s">
        <v>351</v>
      </c>
    </row>
    <row r="194" spans="1:2" hidden="1" outlineLevel="1">
      <c r="A194" s="30">
        <v>12</v>
      </c>
      <c r="B194" s="30" t="s">
        <v>352</v>
      </c>
    </row>
    <row r="195" spans="1:2" hidden="1" outlineLevel="1">
      <c r="A195" s="30">
        <v>13</v>
      </c>
      <c r="B195" s="30" t="s">
        <v>353</v>
      </c>
    </row>
    <row r="196" spans="1:2" hidden="1" outlineLevel="1">
      <c r="A196" s="30">
        <v>14</v>
      </c>
      <c r="B196" s="30" t="s">
        <v>354</v>
      </c>
    </row>
    <row r="197" spans="1:2" hidden="1" outlineLevel="1">
      <c r="A197" s="30">
        <v>15</v>
      </c>
      <c r="B197" s="30" t="s">
        <v>355</v>
      </c>
    </row>
    <row r="198" spans="1:2" hidden="1" outlineLevel="1">
      <c r="A198" s="30">
        <v>16</v>
      </c>
      <c r="B198" s="30" t="s">
        <v>356</v>
      </c>
    </row>
    <row r="199" spans="1:2" ht="30" hidden="1" outlineLevel="1">
      <c r="A199" s="30">
        <v>17</v>
      </c>
      <c r="B199" s="30" t="s">
        <v>357</v>
      </c>
    </row>
    <row r="200" spans="1:2" hidden="1" outlineLevel="1">
      <c r="A200" s="30">
        <v>18</v>
      </c>
      <c r="B200" s="30" t="s">
        <v>358</v>
      </c>
    </row>
    <row r="201" spans="1:2" hidden="1" outlineLevel="1">
      <c r="A201" s="30">
        <v>19</v>
      </c>
      <c r="B201" s="30" t="s">
        <v>359</v>
      </c>
    </row>
    <row r="202" spans="1:2" ht="30" hidden="1" outlineLevel="1">
      <c r="A202" s="30">
        <v>20</v>
      </c>
      <c r="B202" s="30" t="s">
        <v>360</v>
      </c>
    </row>
    <row r="203" spans="1:2" hidden="1" outlineLevel="1">
      <c r="A203" s="30">
        <v>21</v>
      </c>
      <c r="B203" s="30" t="s">
        <v>361</v>
      </c>
    </row>
    <row r="204" spans="1:2" ht="30" hidden="1" outlineLevel="1">
      <c r="A204" s="30">
        <v>22</v>
      </c>
      <c r="B204" s="30" t="s">
        <v>362</v>
      </c>
    </row>
    <row r="205" spans="1:2" ht="30" hidden="1" outlineLevel="1">
      <c r="A205" s="30">
        <v>23</v>
      </c>
      <c r="B205" s="30" t="s">
        <v>363</v>
      </c>
    </row>
    <row r="206" spans="1:2" hidden="1" outlineLevel="1">
      <c r="A206" s="30">
        <v>24</v>
      </c>
      <c r="B206" s="30" t="s">
        <v>364</v>
      </c>
    </row>
    <row r="207" spans="1:2" hidden="1" outlineLevel="1">
      <c r="A207" s="30">
        <v>25</v>
      </c>
      <c r="B207" s="30" t="s">
        <v>365</v>
      </c>
    </row>
    <row r="208" spans="1:2" hidden="1" outlineLevel="1">
      <c r="A208" s="30">
        <v>26</v>
      </c>
      <c r="B208" s="30" t="s">
        <v>366</v>
      </c>
    </row>
    <row r="209" spans="1:2" hidden="1" outlineLevel="1">
      <c r="A209" s="30">
        <v>27</v>
      </c>
      <c r="B209" s="30" t="s">
        <v>367</v>
      </c>
    </row>
    <row r="210" spans="1:2" hidden="1" outlineLevel="1">
      <c r="A210" s="30">
        <v>28</v>
      </c>
      <c r="B210" s="30" t="s">
        <v>368</v>
      </c>
    </row>
    <row r="211" spans="1:2" hidden="1" outlineLevel="1">
      <c r="A211" s="30">
        <v>29</v>
      </c>
      <c r="B211" s="30" t="s">
        <v>369</v>
      </c>
    </row>
    <row r="212" spans="1:2" hidden="1" outlineLevel="1">
      <c r="A212" s="30">
        <v>30</v>
      </c>
      <c r="B212" s="30" t="s">
        <v>370</v>
      </c>
    </row>
    <row r="213" spans="1:2" ht="15.75" customHeight="1" collapsed="1">
      <c r="A213" s="106" t="s">
        <v>371</v>
      </c>
      <c r="B213" s="107"/>
    </row>
    <row r="214" spans="1:2" hidden="1" outlineLevel="1">
      <c r="A214" s="30">
        <v>1</v>
      </c>
      <c r="B214" s="30" t="s">
        <v>372</v>
      </c>
    </row>
    <row r="215" spans="1:2" hidden="1" outlineLevel="1">
      <c r="A215" s="30">
        <v>2</v>
      </c>
      <c r="B215" s="30" t="s">
        <v>373</v>
      </c>
    </row>
    <row r="216" spans="1:2" ht="15.75" customHeight="1" collapsed="1">
      <c r="A216" s="106" t="s">
        <v>374</v>
      </c>
      <c r="B216" s="107"/>
    </row>
    <row r="217" spans="1:2" hidden="1" outlineLevel="1">
      <c r="A217" s="30">
        <v>1</v>
      </c>
      <c r="B217" s="30" t="s">
        <v>375</v>
      </c>
    </row>
    <row r="218" spans="1:2" hidden="1" outlineLevel="1">
      <c r="A218" s="30">
        <v>2</v>
      </c>
      <c r="B218" s="30" t="s">
        <v>376</v>
      </c>
    </row>
    <row r="219" spans="1:2" hidden="1" outlineLevel="1">
      <c r="A219" s="30">
        <v>3</v>
      </c>
      <c r="B219" s="30" t="s">
        <v>377</v>
      </c>
    </row>
    <row r="220" spans="1:2" hidden="1" outlineLevel="1">
      <c r="A220" s="30">
        <v>4</v>
      </c>
      <c r="B220" s="30" t="s">
        <v>378</v>
      </c>
    </row>
    <row r="221" spans="1:2" hidden="1" outlineLevel="1">
      <c r="A221" s="30">
        <v>5</v>
      </c>
      <c r="B221" s="30" t="s">
        <v>379</v>
      </c>
    </row>
    <row r="222" spans="1:2" ht="30" hidden="1" outlineLevel="1">
      <c r="A222" s="30">
        <v>6</v>
      </c>
      <c r="B222" s="30" t="s">
        <v>380</v>
      </c>
    </row>
    <row r="223" spans="1:2" hidden="1" outlineLevel="1">
      <c r="A223" s="30">
        <v>7</v>
      </c>
      <c r="B223" s="30" t="s">
        <v>381</v>
      </c>
    </row>
    <row r="224" spans="1:2" hidden="1" outlineLevel="1">
      <c r="A224" s="30">
        <v>8</v>
      </c>
      <c r="B224" s="30" t="s">
        <v>382</v>
      </c>
    </row>
    <row r="225" spans="1:2" hidden="1" outlineLevel="1">
      <c r="A225" s="30">
        <v>9</v>
      </c>
      <c r="B225" s="30" t="s">
        <v>383</v>
      </c>
    </row>
    <row r="226" spans="1:2" ht="30" hidden="1" outlineLevel="1">
      <c r="A226" s="30">
        <v>10</v>
      </c>
      <c r="B226" s="30" t="s">
        <v>384</v>
      </c>
    </row>
    <row r="227" spans="1:2" hidden="1" outlineLevel="1">
      <c r="A227" s="30">
        <v>11</v>
      </c>
      <c r="B227" s="30" t="s">
        <v>385</v>
      </c>
    </row>
    <row r="228" spans="1:2" hidden="1" outlineLevel="1">
      <c r="A228" s="30">
        <v>12</v>
      </c>
      <c r="B228" s="30" t="s">
        <v>386</v>
      </c>
    </row>
    <row r="229" spans="1:2" hidden="1" outlineLevel="1">
      <c r="A229" s="30">
        <v>13</v>
      </c>
      <c r="B229" s="30" t="s">
        <v>387</v>
      </c>
    </row>
    <row r="230" spans="1:2" ht="15.75" customHeight="1" collapsed="1">
      <c r="A230" s="106" t="s">
        <v>388</v>
      </c>
      <c r="B230" s="107"/>
    </row>
    <row r="231" spans="1:2" hidden="1" outlineLevel="1">
      <c r="A231" s="30">
        <v>1</v>
      </c>
      <c r="B231" s="30" t="s">
        <v>389</v>
      </c>
    </row>
    <row r="232" spans="1:2" hidden="1" outlineLevel="1">
      <c r="A232" s="30">
        <v>2</v>
      </c>
      <c r="B232" s="30" t="s">
        <v>390</v>
      </c>
    </row>
    <row r="233" spans="1:2" hidden="1" outlineLevel="1">
      <c r="A233" s="30">
        <v>3</v>
      </c>
      <c r="B233" s="30" t="s">
        <v>391</v>
      </c>
    </row>
    <row r="234" spans="1:2" hidden="1" outlineLevel="1">
      <c r="A234" s="30">
        <v>4</v>
      </c>
      <c r="B234" s="30" t="s">
        <v>392</v>
      </c>
    </row>
    <row r="235" spans="1:2" ht="30" hidden="1" outlineLevel="1">
      <c r="A235" s="30">
        <v>5</v>
      </c>
      <c r="B235" s="30" t="s">
        <v>393</v>
      </c>
    </row>
    <row r="236" spans="1:2" ht="15.75" customHeight="1" collapsed="1">
      <c r="A236" s="106" t="s">
        <v>394</v>
      </c>
      <c r="B236" s="107"/>
    </row>
    <row r="237" spans="1:2" ht="30" hidden="1" outlineLevel="1">
      <c r="A237" s="30">
        <v>1</v>
      </c>
      <c r="B237" s="30" t="s">
        <v>395</v>
      </c>
    </row>
    <row r="238" spans="1:2" ht="30" hidden="1" outlineLevel="1">
      <c r="A238" s="30">
        <v>2</v>
      </c>
      <c r="B238" s="30" t="s">
        <v>393</v>
      </c>
    </row>
    <row r="239" spans="1:2" ht="15.75" customHeight="1" collapsed="1">
      <c r="A239" s="106" t="s">
        <v>396</v>
      </c>
      <c r="B239" s="107"/>
    </row>
    <row r="240" spans="1:2" hidden="1" outlineLevel="1">
      <c r="A240" s="30">
        <v>1</v>
      </c>
      <c r="B240" s="30" t="s">
        <v>397</v>
      </c>
    </row>
    <row r="241" spans="1:2" hidden="1" outlineLevel="1">
      <c r="A241" s="30">
        <v>2</v>
      </c>
      <c r="B241" s="30" t="s">
        <v>398</v>
      </c>
    </row>
    <row r="242" spans="1:2" hidden="1" outlineLevel="1">
      <c r="A242" s="30">
        <v>3</v>
      </c>
      <c r="B242" s="30" t="s">
        <v>399</v>
      </c>
    </row>
    <row r="243" spans="1:2" hidden="1" outlineLevel="1">
      <c r="A243" s="30">
        <v>4</v>
      </c>
      <c r="B243" s="30" t="s">
        <v>400</v>
      </c>
    </row>
    <row r="244" spans="1:2" hidden="1" outlineLevel="1">
      <c r="A244" s="30">
        <v>5</v>
      </c>
      <c r="B244" s="30" t="s">
        <v>401</v>
      </c>
    </row>
    <row r="245" spans="1:2" hidden="1" outlineLevel="1">
      <c r="A245" s="30">
        <v>6</v>
      </c>
      <c r="B245" s="30" t="s">
        <v>402</v>
      </c>
    </row>
    <row r="246" spans="1:2" hidden="1" outlineLevel="1">
      <c r="A246" s="30">
        <v>7</v>
      </c>
      <c r="B246" s="30" t="s">
        <v>403</v>
      </c>
    </row>
    <row r="247" spans="1:2" ht="15.75" customHeight="1" collapsed="1">
      <c r="A247" s="106" t="s">
        <v>404</v>
      </c>
      <c r="B247" s="107"/>
    </row>
    <row r="248" spans="1:2" hidden="1" outlineLevel="1">
      <c r="A248" s="62">
        <v>1</v>
      </c>
      <c r="B248" s="62" t="s">
        <v>405</v>
      </c>
    </row>
    <row r="249" spans="1:2" ht="30" hidden="1" outlineLevel="1">
      <c r="A249" s="62">
        <v>2</v>
      </c>
      <c r="B249" s="62" t="s">
        <v>406</v>
      </c>
    </row>
    <row r="250" spans="1:2" ht="30" hidden="1" outlineLevel="1">
      <c r="A250" s="62">
        <v>3</v>
      </c>
      <c r="B250" s="62" t="s">
        <v>407</v>
      </c>
    </row>
    <row r="251" spans="1:2" hidden="1" outlineLevel="1">
      <c r="A251" s="62">
        <v>4</v>
      </c>
      <c r="B251" s="62" t="s">
        <v>408</v>
      </c>
    </row>
    <row r="252" spans="1:2" hidden="1" outlineLevel="1">
      <c r="A252" s="62">
        <v>5</v>
      </c>
      <c r="B252" s="62" t="s">
        <v>409</v>
      </c>
    </row>
    <row r="253" spans="1:2" hidden="1" outlineLevel="1">
      <c r="A253" s="62">
        <v>6</v>
      </c>
      <c r="B253" s="62" t="s">
        <v>410</v>
      </c>
    </row>
    <row r="254" spans="1:2" hidden="1" outlineLevel="1">
      <c r="A254" s="62">
        <v>7</v>
      </c>
      <c r="B254" s="62" t="s">
        <v>411</v>
      </c>
    </row>
    <row r="255" spans="1:2" hidden="1" outlineLevel="1">
      <c r="A255" s="62">
        <v>8</v>
      </c>
      <c r="B255" s="62" t="s">
        <v>412</v>
      </c>
    </row>
    <row r="256" spans="1:2" hidden="1" outlineLevel="1">
      <c r="A256" s="62">
        <v>9</v>
      </c>
      <c r="B256" s="62" t="s">
        <v>413</v>
      </c>
    </row>
    <row r="257" spans="1:2" hidden="1" outlineLevel="1">
      <c r="A257" s="62">
        <v>10</v>
      </c>
      <c r="B257" s="62" t="s">
        <v>414</v>
      </c>
    </row>
    <row r="258" spans="1:2" hidden="1" outlineLevel="1">
      <c r="A258" s="62">
        <v>11</v>
      </c>
      <c r="B258" s="62" t="s">
        <v>415</v>
      </c>
    </row>
    <row r="259" spans="1:2" hidden="1" outlineLevel="1">
      <c r="A259" s="62">
        <v>12</v>
      </c>
      <c r="B259" s="62" t="s">
        <v>416</v>
      </c>
    </row>
    <row r="260" spans="1:2" hidden="1" outlineLevel="1">
      <c r="A260" s="62">
        <v>13</v>
      </c>
      <c r="B260" s="62" t="s">
        <v>417</v>
      </c>
    </row>
    <row r="261" spans="1:2" hidden="1" outlineLevel="1">
      <c r="A261" s="62">
        <v>14</v>
      </c>
      <c r="B261" s="62" t="s">
        <v>418</v>
      </c>
    </row>
    <row r="262" spans="1:2" hidden="1" outlineLevel="1">
      <c r="A262" s="62">
        <v>15</v>
      </c>
      <c r="B262" s="62" t="s">
        <v>419</v>
      </c>
    </row>
    <row r="263" spans="1:2" hidden="1" outlineLevel="1">
      <c r="A263" s="62">
        <v>16</v>
      </c>
      <c r="B263" s="62" t="s">
        <v>420</v>
      </c>
    </row>
    <row r="264" spans="1:2" hidden="1" outlineLevel="1">
      <c r="A264" s="62">
        <v>17</v>
      </c>
      <c r="B264" s="62" t="s">
        <v>421</v>
      </c>
    </row>
    <row r="265" spans="1:2" hidden="1" outlineLevel="1">
      <c r="A265" s="62">
        <v>18</v>
      </c>
      <c r="B265" s="62" t="s">
        <v>422</v>
      </c>
    </row>
    <row r="266" spans="1:2" hidden="1" outlineLevel="1">
      <c r="A266" s="62">
        <v>19</v>
      </c>
      <c r="B266" s="62" t="s">
        <v>423</v>
      </c>
    </row>
    <row r="267" spans="1:2" ht="30" hidden="1" outlineLevel="1">
      <c r="A267" s="62">
        <v>20</v>
      </c>
      <c r="B267" s="62" t="s">
        <v>424</v>
      </c>
    </row>
    <row r="268" spans="1:2" hidden="1" outlineLevel="1">
      <c r="A268" s="62">
        <v>21</v>
      </c>
      <c r="B268" s="62" t="s">
        <v>425</v>
      </c>
    </row>
    <row r="269" spans="1:2" hidden="1" outlineLevel="1">
      <c r="A269" s="62">
        <v>22</v>
      </c>
      <c r="B269" s="62" t="s">
        <v>426</v>
      </c>
    </row>
    <row r="270" spans="1:2" hidden="1" outlineLevel="1">
      <c r="A270" s="62">
        <v>23</v>
      </c>
      <c r="B270" s="62" t="s">
        <v>427</v>
      </c>
    </row>
    <row r="271" spans="1:2" hidden="1" outlineLevel="1">
      <c r="A271" s="62">
        <v>24</v>
      </c>
      <c r="B271" s="62" t="s">
        <v>428</v>
      </c>
    </row>
    <row r="272" spans="1:2" ht="30" hidden="1" outlineLevel="1">
      <c r="A272" s="62">
        <v>25</v>
      </c>
      <c r="B272" s="62" t="s">
        <v>429</v>
      </c>
    </row>
    <row r="273" spans="1:2" ht="30" hidden="1" outlineLevel="1">
      <c r="A273" s="62">
        <v>26</v>
      </c>
      <c r="B273" s="62" t="s">
        <v>430</v>
      </c>
    </row>
    <row r="274" spans="1:2" hidden="1" outlineLevel="1">
      <c r="A274" s="62">
        <v>27</v>
      </c>
      <c r="B274" s="62" t="s">
        <v>425</v>
      </c>
    </row>
    <row r="275" spans="1:2" hidden="1" outlineLevel="1">
      <c r="A275" s="62">
        <v>28</v>
      </c>
      <c r="B275" s="62" t="s">
        <v>426</v>
      </c>
    </row>
    <row r="276" spans="1:2" hidden="1" outlineLevel="1">
      <c r="A276" s="62">
        <v>29</v>
      </c>
      <c r="B276" s="62" t="s">
        <v>427</v>
      </c>
    </row>
    <row r="277" spans="1:2" hidden="1" outlineLevel="1">
      <c r="A277" s="62">
        <v>30</v>
      </c>
      <c r="B277" s="62" t="s">
        <v>428</v>
      </c>
    </row>
    <row r="278" spans="1:2" hidden="1" outlineLevel="1">
      <c r="A278" s="62">
        <v>31</v>
      </c>
      <c r="B278" s="62" t="s">
        <v>431</v>
      </c>
    </row>
    <row r="279" spans="1:2" ht="30" hidden="1" outlineLevel="1">
      <c r="A279" s="62">
        <v>32</v>
      </c>
      <c r="B279" s="62" t="s">
        <v>432</v>
      </c>
    </row>
    <row r="280" spans="1:2" hidden="1" outlineLevel="1">
      <c r="A280" s="62">
        <v>33</v>
      </c>
      <c r="B280" s="62" t="s">
        <v>433</v>
      </c>
    </row>
    <row r="281" spans="1:2" ht="30" hidden="1" outlineLevel="1">
      <c r="A281" s="62">
        <v>34</v>
      </c>
      <c r="B281" s="62" t="s">
        <v>434</v>
      </c>
    </row>
    <row r="282" spans="1:2" ht="30" hidden="1" outlineLevel="1">
      <c r="A282" s="62">
        <v>35</v>
      </c>
      <c r="B282" s="62" t="s">
        <v>435</v>
      </c>
    </row>
    <row r="283" spans="1:2" hidden="1" outlineLevel="1">
      <c r="A283" s="62">
        <v>36</v>
      </c>
      <c r="B283" s="62" t="s">
        <v>436</v>
      </c>
    </row>
    <row r="284" spans="1:2" hidden="1" outlineLevel="1">
      <c r="A284" s="62">
        <v>37</v>
      </c>
      <c r="B284" s="62" t="s">
        <v>437</v>
      </c>
    </row>
    <row r="285" spans="1:2" ht="30" hidden="1" outlineLevel="1">
      <c r="A285" s="62">
        <v>38</v>
      </c>
      <c r="B285" s="62" t="s">
        <v>438</v>
      </c>
    </row>
    <row r="286" spans="1:2">
      <c r="A286" s="106"/>
      <c r="B286" s="107"/>
    </row>
  </sheetData>
  <mergeCells count="25">
    <mergeCell ref="A286:B286"/>
    <mergeCell ref="A213:B213"/>
    <mergeCell ref="A216:B216"/>
    <mergeCell ref="A230:B230"/>
    <mergeCell ref="A236:B236"/>
    <mergeCell ref="A239:B239"/>
    <mergeCell ref="A247:B247"/>
    <mergeCell ref="A182:B182"/>
    <mergeCell ref="A120:B120"/>
    <mergeCell ref="A123:B123"/>
    <mergeCell ref="A124:B124"/>
    <mergeCell ref="A131:B131"/>
    <mergeCell ref="A138:B138"/>
    <mergeCell ref="A142:B142"/>
    <mergeCell ref="A149:B149"/>
    <mergeCell ref="A151:B151"/>
    <mergeCell ref="A156:B156"/>
    <mergeCell ref="A164:B164"/>
    <mergeCell ref="A181:B181"/>
    <mergeCell ref="A84:B84"/>
    <mergeCell ref="A1:B1"/>
    <mergeCell ref="A2:B2"/>
    <mergeCell ref="A23:B23"/>
    <mergeCell ref="A51:B51"/>
    <mergeCell ref="A52:B52"/>
  </mergeCells>
  <pageMargins left="0.7" right="0.7" top="0.75" bottom="0.75" header="0.3" footer="0.3"/>
  <pageSetup orientation="landscape" r:id="rId1"/>
  <headerFooter>
    <oddHeader>&amp;CReference - TOGAF Guidelines</oddHeader>
    <oddFooter>&amp;LTemplate Version 1.7 / 5 May 2020&amp;CCitiusTech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showGridLines="0" topLeftCell="A27" zoomScaleNormal="100" zoomScalePageLayoutView="90" workbookViewId="0">
      <selection activeCell="D29" sqref="D29"/>
    </sheetView>
  </sheetViews>
  <sheetFormatPr defaultRowHeight="15"/>
  <cols>
    <col min="1" max="1" width="9.85546875" customWidth="1"/>
    <col min="2" max="2" width="63" customWidth="1"/>
    <col min="3" max="3" width="6.85546875" customWidth="1"/>
    <col min="4" max="4" width="22.5703125" style="43" customWidth="1"/>
    <col min="5" max="5" width="38.140625" customWidth="1"/>
  </cols>
  <sheetData>
    <row r="1" spans="1:5" s="8" customFormat="1" ht="15.75">
      <c r="A1" s="80" t="s">
        <v>439</v>
      </c>
      <c r="B1" s="80"/>
      <c r="C1" s="80"/>
      <c r="D1" s="80"/>
      <c r="E1" s="80"/>
    </row>
    <row r="2" spans="1:5" s="8" customFormat="1" ht="25.5">
      <c r="A2" s="9" t="s">
        <v>22</v>
      </c>
      <c r="B2" s="87" t="s">
        <v>440</v>
      </c>
      <c r="C2" s="87"/>
      <c r="D2" s="12" t="s">
        <v>23</v>
      </c>
      <c r="E2" s="67">
        <v>45614</v>
      </c>
    </row>
    <row r="3" spans="1:5" s="8" customFormat="1" ht="25.5">
      <c r="A3" s="9" t="s">
        <v>24</v>
      </c>
      <c r="B3" s="87" t="s">
        <v>441</v>
      </c>
      <c r="C3" s="87"/>
      <c r="D3" s="12" t="s">
        <v>25</v>
      </c>
      <c r="E3" s="12" t="s">
        <v>442</v>
      </c>
    </row>
    <row r="4" spans="1:5" s="8" customFormat="1" ht="37.5" customHeight="1">
      <c r="A4" s="9" t="s">
        <v>63</v>
      </c>
      <c r="B4" s="86">
        <f>IFERROR(IF(AVERAGE(C21,C23,C24)&lt;3,(IFERROR((C31/(COUNTIF(C9:C30,"&gt;=0")*3)*100),"")*0.5),(IFERROR((C31/(COUNTIF(C9:C30,"&gt;=0")*3)*100),""))),"")</f>
        <v>84.444444444444443</v>
      </c>
      <c r="C4" s="86"/>
      <c r="D4" s="12" t="s">
        <v>64</v>
      </c>
      <c r="E4" s="12"/>
    </row>
    <row r="5" spans="1:5" ht="15.75">
      <c r="A5" s="80" t="s">
        <v>30</v>
      </c>
      <c r="B5" s="80"/>
      <c r="C5" s="80"/>
      <c r="D5" s="80"/>
      <c r="E5" s="80"/>
    </row>
    <row r="6" spans="1:5" s="13" customFormat="1" ht="103.5" customHeight="1">
      <c r="A6" s="83" t="s">
        <v>443</v>
      </c>
      <c r="B6" s="83"/>
      <c r="C6" s="83"/>
      <c r="D6" s="83"/>
      <c r="E6" s="83"/>
    </row>
    <row r="7" spans="1:5" ht="15.75">
      <c r="A7" s="80" t="s">
        <v>444</v>
      </c>
      <c r="B7" s="80"/>
      <c r="C7" s="80"/>
      <c r="D7" s="80"/>
      <c r="E7" s="80"/>
    </row>
    <row r="8" spans="1:5">
      <c r="A8" s="10" t="s">
        <v>33</v>
      </c>
      <c r="B8" s="10" t="s">
        <v>34</v>
      </c>
      <c r="C8" s="10" t="s">
        <v>67</v>
      </c>
      <c r="D8" s="10" t="s">
        <v>37</v>
      </c>
      <c r="E8" s="10" t="s">
        <v>38</v>
      </c>
    </row>
    <row r="9" spans="1:5">
      <c r="A9" s="81" t="s">
        <v>445</v>
      </c>
      <c r="B9" s="81"/>
      <c r="C9" s="81"/>
      <c r="D9" s="81"/>
      <c r="E9" s="81"/>
    </row>
    <row r="10" spans="1:5" ht="89.25">
      <c r="A10" s="28">
        <v>1</v>
      </c>
      <c r="B10" s="32" t="s">
        <v>42</v>
      </c>
      <c r="C10" s="27">
        <v>2</v>
      </c>
      <c r="D10" s="14" t="s">
        <v>446</v>
      </c>
      <c r="E10" s="42" t="s">
        <v>447</v>
      </c>
    </row>
    <row r="11" spans="1:5" ht="165.75">
      <c r="A11" s="28">
        <v>2</v>
      </c>
      <c r="B11" s="32" t="s">
        <v>448</v>
      </c>
      <c r="C11" s="27">
        <v>2</v>
      </c>
      <c r="D11" s="42" t="s">
        <v>449</v>
      </c>
      <c r="E11" s="14" t="s">
        <v>450</v>
      </c>
    </row>
    <row r="12" spans="1:5" ht="156" customHeight="1">
      <c r="A12" s="28">
        <v>3</v>
      </c>
      <c r="B12" s="32" t="s">
        <v>451</v>
      </c>
      <c r="C12" s="27">
        <v>3</v>
      </c>
      <c r="D12" s="14" t="s">
        <v>452</v>
      </c>
      <c r="E12" s="29"/>
    </row>
    <row r="13" spans="1:5" ht="114.75">
      <c r="A13" s="28">
        <v>4</v>
      </c>
      <c r="B13" s="32" t="s">
        <v>453</v>
      </c>
      <c r="C13" s="27">
        <v>1</v>
      </c>
      <c r="D13" s="42" t="s">
        <v>454</v>
      </c>
      <c r="E13" s="14" t="s">
        <v>455</v>
      </c>
    </row>
    <row r="14" spans="1:5" ht="126.75" customHeight="1">
      <c r="A14" s="28">
        <v>5</v>
      </c>
      <c r="B14" s="32" t="s">
        <v>456</v>
      </c>
      <c r="C14" s="68">
        <v>1</v>
      </c>
      <c r="D14" s="42" t="s">
        <v>457</v>
      </c>
      <c r="E14" s="14" t="s">
        <v>458</v>
      </c>
    </row>
    <row r="15" spans="1:5">
      <c r="A15" s="81" t="s">
        <v>24</v>
      </c>
      <c r="B15" s="81"/>
      <c r="C15" s="81"/>
      <c r="D15" s="81"/>
      <c r="E15" s="81"/>
    </row>
    <row r="16" spans="1:5" ht="213" customHeight="1">
      <c r="A16" s="28">
        <v>6</v>
      </c>
      <c r="B16" s="32" t="s">
        <v>459</v>
      </c>
      <c r="C16" s="27">
        <v>3</v>
      </c>
      <c r="D16" s="32" t="s">
        <v>460</v>
      </c>
      <c r="E16" s="14"/>
    </row>
    <row r="17" spans="1:5" ht="140.25">
      <c r="A17" s="28">
        <v>7</v>
      </c>
      <c r="B17" s="63" t="s">
        <v>461</v>
      </c>
      <c r="C17" s="27">
        <v>3</v>
      </c>
      <c r="D17" s="32" t="s">
        <v>462</v>
      </c>
      <c r="E17" s="14"/>
    </row>
    <row r="18" spans="1:5" ht="53.25" customHeight="1">
      <c r="A18" s="28">
        <v>8</v>
      </c>
      <c r="B18" s="32" t="s">
        <v>463</v>
      </c>
      <c r="C18" s="27">
        <v>2</v>
      </c>
      <c r="D18" s="42" t="s">
        <v>464</v>
      </c>
      <c r="E18" s="14" t="s">
        <v>465</v>
      </c>
    </row>
    <row r="19" spans="1:5" ht="63.75">
      <c r="A19" s="28">
        <v>9</v>
      </c>
      <c r="B19" s="32" t="s">
        <v>466</v>
      </c>
      <c r="C19" s="27">
        <v>3</v>
      </c>
      <c r="D19" s="14" t="s">
        <v>467</v>
      </c>
      <c r="E19" s="15" t="s">
        <v>468</v>
      </c>
    </row>
    <row r="20" spans="1:5" ht="102">
      <c r="A20" s="28">
        <v>10</v>
      </c>
      <c r="B20" s="32" t="s">
        <v>469</v>
      </c>
      <c r="C20" s="27">
        <v>3</v>
      </c>
      <c r="D20" s="14" t="s">
        <v>470</v>
      </c>
      <c r="E20" s="29" t="s">
        <v>471</v>
      </c>
    </row>
    <row r="21" spans="1:5" ht="114.75">
      <c r="A21" s="28">
        <v>11</v>
      </c>
      <c r="B21" s="42" t="s">
        <v>472</v>
      </c>
      <c r="C21" s="27">
        <v>3</v>
      </c>
      <c r="D21" s="14" t="s">
        <v>473</v>
      </c>
      <c r="E21" s="14"/>
    </row>
    <row r="22" spans="1:5">
      <c r="A22" s="81" t="s">
        <v>474</v>
      </c>
      <c r="B22" s="81"/>
      <c r="C22" s="81"/>
      <c r="D22" s="81"/>
      <c r="E22" s="81"/>
    </row>
    <row r="23" spans="1:5" ht="222" customHeight="1">
      <c r="A23" s="28">
        <v>12</v>
      </c>
      <c r="B23" s="42" t="s">
        <v>475</v>
      </c>
      <c r="C23" s="27">
        <v>3</v>
      </c>
      <c r="D23" s="42" t="s">
        <v>476</v>
      </c>
      <c r="E23" s="14" t="s">
        <v>465</v>
      </c>
    </row>
    <row r="24" spans="1:5" ht="145.5" customHeight="1">
      <c r="A24" s="28">
        <v>13</v>
      </c>
      <c r="B24" s="42" t="s">
        <v>477</v>
      </c>
      <c r="C24" s="27">
        <v>3</v>
      </c>
      <c r="D24" s="14" t="s">
        <v>478</v>
      </c>
      <c r="E24" s="14" t="s">
        <v>465</v>
      </c>
    </row>
    <row r="25" spans="1:5" ht="102">
      <c r="A25" s="28">
        <v>14</v>
      </c>
      <c r="B25" s="32" t="s">
        <v>479</v>
      </c>
      <c r="C25" s="27" t="s">
        <v>480</v>
      </c>
      <c r="D25" s="14"/>
      <c r="E25" s="42"/>
    </row>
    <row r="26" spans="1:5">
      <c r="A26" s="81" t="s">
        <v>481</v>
      </c>
      <c r="B26" s="81"/>
      <c r="C26" s="81"/>
      <c r="D26" s="81"/>
      <c r="E26" s="81"/>
    </row>
    <row r="27" spans="1:5" ht="51">
      <c r="A27" s="28">
        <v>15</v>
      </c>
      <c r="B27" s="32" t="s">
        <v>482</v>
      </c>
      <c r="C27" s="27" t="s">
        <v>480</v>
      </c>
      <c r="D27" s="15"/>
      <c r="E27" s="14" t="s">
        <v>483</v>
      </c>
    </row>
    <row r="28" spans="1:5" ht="25.5">
      <c r="A28" s="28">
        <v>16</v>
      </c>
      <c r="B28" s="32" t="s">
        <v>484</v>
      </c>
      <c r="C28" s="27">
        <v>3</v>
      </c>
      <c r="D28" s="15" t="s">
        <v>485</v>
      </c>
      <c r="E28" s="14"/>
    </row>
    <row r="29" spans="1:5" ht="89.25">
      <c r="A29" s="28">
        <v>17</v>
      </c>
      <c r="B29" s="36" t="s">
        <v>486</v>
      </c>
      <c r="C29" s="27" t="s">
        <v>480</v>
      </c>
      <c r="D29" s="14"/>
      <c r="E29" s="14"/>
    </row>
    <row r="30" spans="1:5" ht="127.5">
      <c r="A30" s="28">
        <v>18</v>
      </c>
      <c r="B30" s="32" t="s">
        <v>487</v>
      </c>
      <c r="C30" s="27">
        <v>3</v>
      </c>
      <c r="D30" s="14" t="s">
        <v>485</v>
      </c>
      <c r="E30" s="14" t="s">
        <v>488</v>
      </c>
    </row>
    <row r="31" spans="1:5">
      <c r="A31" s="79" t="s">
        <v>489</v>
      </c>
      <c r="B31" s="79"/>
      <c r="C31" s="11">
        <f>SUM(C10:C30)</f>
        <v>38</v>
      </c>
      <c r="D31" s="64"/>
      <c r="E31" s="64"/>
    </row>
    <row r="34" spans="4:4">
      <c r="D34"/>
    </row>
  </sheetData>
  <mergeCells count="12">
    <mergeCell ref="A31:B31"/>
    <mergeCell ref="A22:E22"/>
    <mergeCell ref="A1:E1"/>
    <mergeCell ref="B3:C3"/>
    <mergeCell ref="B4:C4"/>
    <mergeCell ref="A5:E5"/>
    <mergeCell ref="A6:E6"/>
    <mergeCell ref="A7:E7"/>
    <mergeCell ref="A9:E9"/>
    <mergeCell ref="A15:E15"/>
    <mergeCell ref="A26:E26"/>
    <mergeCell ref="B2:C2"/>
  </mergeCells>
  <conditionalFormatting sqref="B28">
    <cfRule type="expression" dxfId="9" priority="1" stopIfTrue="1">
      <formula>OR($D$22="No",#REF!="No")</formula>
    </cfRule>
    <cfRule type="expression" dxfId="8" priority="2" stopIfTrue="1">
      <formula>OR($D$22="N/A",#REF!="N/A")</formula>
    </cfRule>
    <cfRule type="expression" dxfId="7" priority="3" stopIfTrue="1">
      <formula>OR($D$22="No",#REF!="No")</formula>
    </cfRule>
    <cfRule type="expression" dxfId="6" priority="4" stopIfTrue="1">
      <formula>OR($D$22="N/A",#REF!="N/A")</formula>
    </cfRule>
  </conditionalFormatting>
  <conditionalFormatting sqref="D16:D17">
    <cfRule type="expression" dxfId="5" priority="23" stopIfTrue="1">
      <formula>OR($D$22="No",#REF!="No")</formula>
    </cfRule>
    <cfRule type="expression" dxfId="4" priority="24" stopIfTrue="1">
      <formula>OR($D$22="N/A",#REF!="N/A")</formula>
    </cfRule>
    <cfRule type="expression" dxfId="3" priority="25" stopIfTrue="1">
      <formula>OR($D$22="No",#REF!="No")</formula>
    </cfRule>
    <cfRule type="expression" dxfId="2" priority="26" stopIfTrue="1">
      <formula>OR($D$22="N/A",#REF!="N/A")</formula>
    </cfRule>
  </conditionalFormatting>
  <conditionalFormatting sqref="E4">
    <cfRule type="expression" dxfId="1" priority="69">
      <formula>$B$4&gt;89.5</formula>
    </cfRule>
    <cfRule type="expression" dxfId="0" priority="70">
      <formula>$B$4&lt;89.6</formula>
    </cfRule>
  </conditionalFormatting>
  <dataValidations count="2">
    <dataValidation type="list" allowBlank="1" showInputMessage="1" showErrorMessage="1" sqref="C27:C30 C25 C16:C20 C10:C14" xr:uid="{00000000-0002-0000-0200-000000000000}">
      <formula1>"0,1,2,3,NA"</formula1>
    </dataValidation>
    <dataValidation type="list" allowBlank="1" showInputMessage="1" showErrorMessage="1" sqref="C23:C24 C21" xr:uid="{00000000-0002-0000-0200-000001000000}">
      <formula1>"0, 3"</formula1>
    </dataValidation>
  </dataValidations>
  <pageMargins left="0.7" right="0.7" top="0.75" bottom="0.75" header="0.3" footer="0.3"/>
  <pageSetup scale="98" orientation="landscape" horizontalDpi="1200" verticalDpi="1200" r:id="rId1"/>
  <headerFooter>
    <oddFooter>&amp;LTemplate Version 1.7 / 5 May 2020&amp;CCitiusTech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063E-A3CC-49DB-ADA6-2F4B9B41EEE0}">
  <dimension ref="A1:C23"/>
  <sheetViews>
    <sheetView workbookViewId="0">
      <selection activeCell="B1" sqref="B1"/>
    </sheetView>
  </sheetViews>
  <sheetFormatPr defaultRowHeight="15"/>
  <cols>
    <col min="1" max="1" width="48.5703125" customWidth="1"/>
    <col min="2" max="2" width="51.42578125" customWidth="1"/>
    <col min="3" max="3" width="59.140625" customWidth="1"/>
  </cols>
  <sheetData>
    <row r="1" spans="1:3">
      <c r="A1" s="69" t="s">
        <v>490</v>
      </c>
      <c r="B1" s="69" t="s">
        <v>491</v>
      </c>
      <c r="C1" s="69" t="s">
        <v>492</v>
      </c>
    </row>
    <row r="2" spans="1:3">
      <c r="A2" t="s">
        <v>493</v>
      </c>
      <c r="B2" t="s">
        <v>494</v>
      </c>
      <c r="C2" t="s">
        <v>495</v>
      </c>
    </row>
    <row r="3" spans="1:3">
      <c r="A3" t="s">
        <v>496</v>
      </c>
      <c r="B3" t="s">
        <v>497</v>
      </c>
      <c r="C3" t="s">
        <v>498</v>
      </c>
    </row>
    <row r="4" spans="1:3">
      <c r="A4" t="s">
        <v>499</v>
      </c>
      <c r="B4" t="s">
        <v>496</v>
      </c>
      <c r="C4" t="s">
        <v>500</v>
      </c>
    </row>
    <row r="5" spans="1:3">
      <c r="B5" t="s">
        <v>501</v>
      </c>
      <c r="C5" t="s">
        <v>502</v>
      </c>
    </row>
    <row r="6" spans="1:3">
      <c r="B6" t="s">
        <v>503</v>
      </c>
      <c r="C6" t="s">
        <v>504</v>
      </c>
    </row>
    <row r="7" spans="1:3">
      <c r="B7" t="s">
        <v>505</v>
      </c>
      <c r="C7" t="s">
        <v>506</v>
      </c>
    </row>
    <row r="8" spans="1:3">
      <c r="B8" t="s">
        <v>507</v>
      </c>
      <c r="C8" t="s">
        <v>508</v>
      </c>
    </row>
    <row r="9" spans="1:3">
      <c r="B9" t="s">
        <v>509</v>
      </c>
      <c r="C9" t="s">
        <v>510</v>
      </c>
    </row>
    <row r="10" spans="1:3">
      <c r="C10" t="s">
        <v>511</v>
      </c>
    </row>
    <row r="11" spans="1:3">
      <c r="C11" t="s">
        <v>512</v>
      </c>
    </row>
    <row r="12" spans="1:3">
      <c r="C12" t="s">
        <v>513</v>
      </c>
    </row>
    <row r="15" spans="1:3">
      <c r="C15" s="69" t="s">
        <v>514</v>
      </c>
    </row>
    <row r="16" spans="1:3">
      <c r="C16" t="s">
        <v>515</v>
      </c>
    </row>
    <row r="17" spans="3:3">
      <c r="C17" t="s">
        <v>516</v>
      </c>
    </row>
    <row r="18" spans="3:3">
      <c r="C18" t="s">
        <v>517</v>
      </c>
    </row>
    <row r="21" spans="3:3">
      <c r="C21" s="69" t="s">
        <v>518</v>
      </c>
    </row>
    <row r="22" spans="3:3">
      <c r="C22" t="s">
        <v>519</v>
      </c>
    </row>
    <row r="23" spans="3:3">
      <c r="C23" t="s">
        <v>520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showGridLines="0" view="pageLayout" zoomScale="80" zoomScaleNormal="80" zoomScalePageLayoutView="80" workbookViewId="0">
      <selection sqref="A1:H1"/>
    </sheetView>
  </sheetViews>
  <sheetFormatPr defaultColWidth="9.140625" defaultRowHeight="15"/>
  <cols>
    <col min="1" max="1" width="3.140625" style="1" customWidth="1"/>
    <col min="2" max="2" width="14.5703125" style="1" customWidth="1"/>
    <col min="3" max="3" width="28.85546875" style="1" customWidth="1"/>
    <col min="4" max="4" width="9.42578125" style="1" customWidth="1"/>
    <col min="5" max="5" width="14.85546875" style="1" customWidth="1"/>
    <col min="6" max="6" width="10.42578125" style="1" customWidth="1"/>
    <col min="7" max="7" width="12.85546875" style="1" customWidth="1"/>
    <col min="8" max="8" width="36" style="1" customWidth="1"/>
    <col min="9" max="16384" width="9.140625" style="1"/>
  </cols>
  <sheetData>
    <row r="1" spans="1:12" ht="26.25">
      <c r="A1" s="111" t="s">
        <v>521</v>
      </c>
      <c r="B1" s="111"/>
      <c r="C1" s="111"/>
      <c r="D1" s="111"/>
      <c r="E1" s="111"/>
      <c r="F1" s="111"/>
      <c r="G1" s="111"/>
      <c r="H1" s="111"/>
      <c r="I1" s="2"/>
      <c r="J1" s="2"/>
      <c r="K1" s="2"/>
      <c r="L1" s="2"/>
    </row>
    <row r="2" spans="1:12" ht="15.75" customHeight="1">
      <c r="A2" s="115"/>
      <c r="B2" s="116"/>
      <c r="C2" s="116"/>
      <c r="D2" s="116"/>
      <c r="E2" s="116"/>
      <c r="F2" s="116"/>
      <c r="G2" s="116"/>
      <c r="H2" s="117"/>
      <c r="I2" s="2"/>
      <c r="J2" s="2"/>
      <c r="K2" s="2"/>
      <c r="L2" s="2"/>
    </row>
    <row r="3" spans="1:12" s="4" customFormat="1" ht="34.15" customHeight="1">
      <c r="A3" s="7" t="s">
        <v>522</v>
      </c>
      <c r="B3" s="7" t="s">
        <v>523</v>
      </c>
      <c r="C3" s="7" t="s">
        <v>524</v>
      </c>
      <c r="D3" s="7" t="s">
        <v>525</v>
      </c>
      <c r="E3" s="7" t="s">
        <v>526</v>
      </c>
      <c r="F3" s="7" t="s">
        <v>527</v>
      </c>
      <c r="G3" s="7" t="s">
        <v>528</v>
      </c>
      <c r="H3" s="7" t="s">
        <v>529</v>
      </c>
    </row>
    <row r="4" spans="1:12" ht="78.75" customHeight="1">
      <c r="A4" s="30">
        <v>1</v>
      </c>
      <c r="B4" s="30" t="s">
        <v>530</v>
      </c>
      <c r="C4" s="30" t="s">
        <v>531</v>
      </c>
      <c r="D4" s="3" t="s">
        <v>532</v>
      </c>
      <c r="E4" s="30" t="s">
        <v>533</v>
      </c>
      <c r="F4" s="30" t="s">
        <v>534</v>
      </c>
      <c r="G4" s="6" t="s">
        <v>535</v>
      </c>
      <c r="H4" s="112" t="s">
        <v>536</v>
      </c>
    </row>
    <row r="5" spans="1:12" ht="75" customHeight="1">
      <c r="A5" s="30">
        <v>2</v>
      </c>
      <c r="B5" s="30" t="s">
        <v>537</v>
      </c>
      <c r="C5" s="30" t="s">
        <v>538</v>
      </c>
      <c r="D5" s="3" t="s">
        <v>532</v>
      </c>
      <c r="E5" s="30" t="s">
        <v>539</v>
      </c>
      <c r="F5" s="30" t="s">
        <v>534</v>
      </c>
      <c r="G5" s="6" t="s">
        <v>540</v>
      </c>
      <c r="H5" s="113"/>
    </row>
    <row r="6" spans="1:12" ht="76.5" customHeight="1">
      <c r="A6" s="30">
        <v>3</v>
      </c>
      <c r="B6" s="30" t="s">
        <v>541</v>
      </c>
      <c r="C6" s="30" t="s">
        <v>542</v>
      </c>
      <c r="D6" s="3" t="s">
        <v>532</v>
      </c>
      <c r="E6" s="30" t="s">
        <v>543</v>
      </c>
      <c r="F6" s="30" t="s">
        <v>534</v>
      </c>
      <c r="G6" s="6" t="s">
        <v>544</v>
      </c>
      <c r="H6" s="113"/>
    </row>
    <row r="7" spans="1:12" ht="79.5" customHeight="1">
      <c r="A7" s="30">
        <v>4</v>
      </c>
      <c r="B7" s="30" t="s">
        <v>545</v>
      </c>
      <c r="C7" s="30" t="s">
        <v>546</v>
      </c>
      <c r="D7" s="3" t="s">
        <v>532</v>
      </c>
      <c r="E7" s="30" t="s">
        <v>547</v>
      </c>
      <c r="F7" s="30" t="s">
        <v>534</v>
      </c>
      <c r="G7" s="31" t="s">
        <v>548</v>
      </c>
      <c r="H7" s="113"/>
    </row>
    <row r="8" spans="1:12" ht="75">
      <c r="A8" s="30">
        <v>5</v>
      </c>
      <c r="B8" s="30" t="s">
        <v>549</v>
      </c>
      <c r="C8" s="30" t="s">
        <v>550</v>
      </c>
      <c r="D8" s="3" t="s">
        <v>532</v>
      </c>
      <c r="E8" s="30" t="s">
        <v>551</v>
      </c>
      <c r="F8" s="30" t="s">
        <v>534</v>
      </c>
      <c r="G8" s="31" t="s">
        <v>552</v>
      </c>
      <c r="H8" s="114"/>
    </row>
    <row r="9" spans="1:12" ht="15.75">
      <c r="A9" s="110"/>
      <c r="B9" s="110"/>
      <c r="C9" s="110"/>
      <c r="D9" s="110"/>
      <c r="E9" s="110"/>
      <c r="F9" s="110"/>
      <c r="G9" s="110"/>
      <c r="H9" s="110"/>
    </row>
    <row r="10" spans="1:12">
      <c r="A10" s="5"/>
      <c r="C10" s="5"/>
      <c r="D10" s="5"/>
      <c r="E10" s="5"/>
      <c r="F10" s="5"/>
      <c r="G10" s="5"/>
      <c r="H10" s="5"/>
    </row>
    <row r="11" spans="1:12">
      <c r="A11" s="5"/>
      <c r="C11" s="5"/>
      <c r="D11" s="5"/>
      <c r="E11" s="5"/>
      <c r="F11" s="5"/>
      <c r="G11" s="5"/>
      <c r="H11" s="5"/>
    </row>
    <row r="12" spans="1:12">
      <c r="A12" s="5"/>
      <c r="C12" s="5"/>
      <c r="D12" s="5"/>
      <c r="E12" s="5"/>
      <c r="F12" s="5"/>
      <c r="G12" s="5"/>
      <c r="H12" s="5"/>
    </row>
    <row r="13" spans="1:12">
      <c r="A13" s="5"/>
      <c r="C13" s="5"/>
      <c r="D13" s="5"/>
      <c r="E13" s="5"/>
      <c r="F13" s="5"/>
      <c r="G13" s="5"/>
      <c r="H13" s="5"/>
    </row>
    <row r="14" spans="1:12">
      <c r="A14" s="5"/>
      <c r="C14" s="5"/>
      <c r="D14" s="5"/>
      <c r="E14" s="5"/>
      <c r="F14" s="5"/>
      <c r="G14" s="5"/>
      <c r="H14" s="5"/>
    </row>
    <row r="15" spans="1:12">
      <c r="A15" s="5"/>
      <c r="C15" s="5"/>
      <c r="D15" s="5"/>
      <c r="E15" s="5"/>
      <c r="F15" s="5"/>
      <c r="G15" s="5"/>
      <c r="H15" s="5"/>
    </row>
    <row r="16" spans="1:12">
      <c r="A16" s="5"/>
      <c r="C16" s="5"/>
      <c r="D16" s="5"/>
      <c r="E16" s="5"/>
      <c r="F16" s="5"/>
      <c r="G16" s="5"/>
      <c r="H16" s="5"/>
    </row>
    <row r="17" spans="1:8">
      <c r="A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4">
    <mergeCell ref="A9:H9"/>
    <mergeCell ref="A1:H1"/>
    <mergeCell ref="H4:H8"/>
    <mergeCell ref="A2:H2"/>
  </mergeCells>
  <hyperlinks>
    <hyperlink ref="G4" location="'Ann 1 - SmartCode'!A1" display="SmartCode MU Criteria - Annexure 1" xr:uid="{00000000-0004-0000-0100-000000000000}"/>
    <hyperlink ref="G5" location="'Ann 2 - SmartTest &amp; Automation'!A1" display="SmartTest MU Criteria - Annexure 2" xr:uid="{00000000-0004-0000-0100-000001000000}"/>
    <hyperlink ref="G6" location="'Ann 3 - SmartScrum'!A1" display="SmartScrum MU Criteria - Annexure 3" xr:uid="{00000000-0004-0000-0100-000002000000}"/>
    <hyperlink ref="G7" location="'Ann 2 - SmartTest &amp; Automation'!A1" display="SmartAutomation MU Criteria - Annexure 4" xr:uid="{00000000-0004-0000-0100-000003000000}"/>
    <hyperlink ref="G8" location="'Ann 4 - SmartArchMU'!A1" display="SmartArch MU Criteria - Annexure 4" xr:uid="{00000000-0004-0000-0100-000004000000}"/>
  </hyperlinks>
  <pageMargins left="0.70866141732283472" right="0.70866141732283472" top="0.74803149606299213" bottom="0.74803149606299213" header="0.31496062992125984" footer="0.31496062992125984"/>
  <pageSetup paperSize="9" orientation="landscape" r:id="rId1"/>
  <headerFooter>
    <oddFooter>&amp;LTemplate Version 1.7 / 5 May 2020&amp;CCitiusTech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d21bc5d-e3a9-4bb4-9528-0f284b3806a9">
      <UserInfo>
        <DisplayName>Ganesh Dhuri</DisplayName>
        <AccountId>9</AccountId>
        <AccountType/>
      </UserInfo>
    </SharedWithUsers>
    <_ip_UnifiedCompliancePolicyUIAction xmlns="http://schemas.microsoft.com/sharepoint/v3" xsi:nil="true"/>
    <_ip_UnifiedCompliancePolicyProperties xmlns="http://schemas.microsoft.com/sharepoint/v3" xsi:nil="true"/>
    <_activity xmlns="8191f176-3da5-40f6-8520-2fb35064bda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3B45670CFCFB4B99071F84E0D5B8AA" ma:contentTypeVersion="19" ma:contentTypeDescription="Create a new document." ma:contentTypeScope="" ma:versionID="19c936b87a5c8af201d980282c4bc535">
  <xsd:schema xmlns:xsd="http://www.w3.org/2001/XMLSchema" xmlns:xs="http://www.w3.org/2001/XMLSchema" xmlns:p="http://schemas.microsoft.com/office/2006/metadata/properties" xmlns:ns1="http://schemas.microsoft.com/sharepoint/v3" xmlns:ns3="8191f176-3da5-40f6-8520-2fb35064bda7" xmlns:ns4="fd21bc5d-e3a9-4bb4-9528-0f284b3806a9" targetNamespace="http://schemas.microsoft.com/office/2006/metadata/properties" ma:root="true" ma:fieldsID="583909c4536eca96bfff90b68f02907b" ns1:_="" ns3:_="" ns4:_="">
    <xsd:import namespace="http://schemas.microsoft.com/sharepoint/v3"/>
    <xsd:import namespace="8191f176-3da5-40f6-8520-2fb35064bda7"/>
    <xsd:import namespace="fd21bc5d-e3a9-4bb4-9528-0f284b3806a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91f176-3da5-40f6-8520-2fb35064bd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21bc5d-e3a9-4bb4-9528-0f284b3806a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0B2C2-C1F2-4EFB-B75A-BACE9E21BEEF}"/>
</file>

<file path=customXml/itemProps2.xml><?xml version="1.0" encoding="utf-8"?>
<ds:datastoreItem xmlns:ds="http://schemas.openxmlformats.org/officeDocument/2006/customXml" ds:itemID="{BFE6AF5D-F017-484A-BAC7-86791B5DB463}"/>
</file>

<file path=customXml/itemProps3.xml><?xml version="1.0" encoding="utf-8"?>
<ds:datastoreItem xmlns:ds="http://schemas.openxmlformats.org/officeDocument/2006/customXml" ds:itemID="{B0496978-59DB-436B-87EB-1E68798903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 Smart MU Framework and Criteria</dc:title>
  <dc:subject/>
  <dc:creator>Punam Shejale</dc:creator>
  <cp:keywords/>
  <dc:description/>
  <cp:lastModifiedBy/>
  <cp:revision/>
  <dcterms:created xsi:type="dcterms:W3CDTF">2013-05-01T06:30:43Z</dcterms:created>
  <dcterms:modified xsi:type="dcterms:W3CDTF">2026-04-10T14:17:23Z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0x010100CA3B45670CFCFB4B99071F84E0D5B8AA</vt:lpwstr>
  </property>
</Properties>
</file>